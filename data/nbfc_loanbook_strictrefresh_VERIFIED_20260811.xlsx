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lizhu/Documents/CHUAN/Projects/"/>
    </mc:Choice>
  </mc:AlternateContent>
  <xr:revisionPtr revIDLastSave="0" documentId="13_ncr:1_{164DAFD4-5987-7F4E-B4F5-F9BD733AED33}" xr6:coauthVersionLast="47" xr6:coauthVersionMax="47" xr10:uidLastSave="{00000000-0000-0000-0000-000000000000}"/>
  <bookViews>
    <workbookView xWindow="-1620" yWindow="-13720" windowWidth="28800" windowHeight="13800" tabRatio="500" firstSheet="1" activeTab="1" xr2:uid="{00000000-000D-0000-FFFF-FFFF00000000}"/>
  </bookViews>
  <sheets>
    <sheet name="README" sheetId="1" r:id="rId1"/>
    <sheet name="Country_Master_Loan" sheetId="2" r:id="rId2"/>
    <sheet name="Country_Master_Institutions" sheetId="3" r:id="rId3"/>
    <sheet name="Institution_Count_Detail" sheetId="4" r:id="rId4"/>
    <sheet name="Loan_Book_Detail" sheetId="5" r:id="rId5"/>
    <sheet name="Classification_Notes" sheetId="6" r:id="rId6"/>
    <sheet name="Evidence_Index" sheetId="7" r:id="rId7"/>
    <sheet name="Methodology" sheetId="8" r:id="rId8"/>
    <sheet name="QA_Checks" sheetId="9" r:id="rId9"/>
    <sheet name="Change_Log" sheetId="10" r:id="rId10"/>
  </sheets>
  <definedNames>
    <definedName name="_xlnm._FilterDatabase" localSheetId="2" hidden="1">Country_Master_Institutions!$A$1:$L$85</definedName>
    <definedName name="_xlnm._FilterDatabase" localSheetId="1" hidden="1">Country_Master_Loan!$A$1:$AB$85</definedName>
    <definedName name="_xlnm._FilterDatabase" localSheetId="3" hidden="1">Institution_Count_Detail!$A$1:$O$104</definedName>
    <definedName name="_xlnm._FilterDatabase" localSheetId="4" hidden="1">Loan_Book_Detail!$A$1:$Z$93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2" l="1"/>
  <c r="G39" i="2"/>
  <c r="G13" i="2"/>
  <c r="G11" i="2"/>
  <c r="G10" i="2"/>
  <c r="G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1" authorId="0" shapeId="0" xr:uid="{00000000-0006-0000-0100-00001C000000}">
      <text>
        <r>
          <rPr>
            <sz val="10"/>
            <rFont val="Arial"/>
            <family val="2"/>
          </rPr>
          <t>Labels:
OK = number checked against its source, correct, nothing changed.
CHANGED = value was wrong and has been corrected (see hover comment on the cell + Change_Log sheet).
FLAG-SCOPE = number is correct but measures bank/all-lender credit or a mismatched group - do not sum into a non-bank TAM as-is.
FLAG-SOURCE = number plausible but the citation is weak (press/mirror/dead link) - re-cite from the regulator.
FLAG-FX = value depends on which exchange rate basis you pick.
PENDING = no data; excluded from totals.</t>
        </r>
      </text>
    </comment>
    <comment ref="AD1" authorId="0" shapeId="0" xr:uid="{00000000-0006-0000-0100-00001D000000}">
      <text>
        <r>
          <rPr>
            <sz val="10"/>
            <rFont val="Arial"/>
            <family val="2"/>
          </rPr>
          <t>ADDED 2026-08-11: all outstanding_local values converted at ONE consistent
current FX date (rates: ER-API, 10-Aug-2026 UTC), for TAM-map use.
Bases: YER = Aden parallel ~1,535 (01-Aug-2026, Almahriah; API official 237 unusable);
TMT = official peg 3.5 (market ~19.2 -&gt; ~$1.75bn, see row flag);
ZiG = ZWG 26.60; BD=BHD, KD=KWD.
Column I (usd_bn_indicative) retains as-of-date FX. Pick ONE column for the map.</t>
        </r>
      </text>
    </comment>
    <comment ref="AE1" authorId="0" shapeId="0" xr:uid="{00000000-0006-0000-0100-00001E000000}">
      <text>
        <r>
          <rPr>
            <sz val="10"/>
            <rFont val="Arial"/>
            <family val="2"/>
          </rPr>
          <t>ADDED 2026-08-11 per senior's instruction: where a row's series includes mortgages,
show the FULL outstanding (AE), the mortgage portion (AF), and deduct:
outstanding_local (col G) = AE - AF as a live Excel formula.
Rows without mortgage content leave AE/AF empty (col G unchanged).
Oman includes housing but publishes no split - flagged, no deduction possible.</t>
        </r>
      </text>
    </comment>
    <comment ref="AG1" authorId="0" shapeId="0" xr:uid="{00000000-0006-0000-0100-00001F000000}">
      <text>
        <r>
          <rPr>
            <sz val="10"/>
            <rFont val="Arial"/>
            <family val="2"/>
          </rPr>
          <t>ADDED 2026-08-11: classifies each row's LOAN series by lender type.
'pure non-bank' = only non-bank lenders (NBFCs, finance/consumer-finance
companies, moneylenders, MFIs, P2P, credit-card companies).
'pure bank' = banking-sector series only.
'mixed' = covers banks AND non-banks together (all-lender series).
Green = pure non-bank, blue = pure bank, yellow = mixed.
Based on each series' own definition at the cited source.</t>
        </r>
      </text>
    </comment>
    <comment ref="G7" authorId="0" shapeId="0" xr:uid="{00000000-0006-0000-0100-000001000000}">
      <text>
        <r>
          <rPr>
            <sz val="10"/>
            <rFont val="Arial"/>
            <family val="2"/>
          </rPr>
          <t>CHANGED 2026-08-11 (updated with exact figure)
Gross (AE): 3,537,000,000,000 (BSP QUBS Q3-2025)
Mortgage (AF): 1,188,000,000,000 - EXACT BSP RRE at end-Sep-2025
(replaces earlier derived 1,078.8bn; note: press had swapped the
segment shares - RRE is actually ~33.9%, credit cards 30.5%)
NET = AE - AF = 2,349,000,000,000
Minor caveat: RRE figure is from BSP's RE-exposure report
(incl. trust depts), tracks the QUBS RREL series within ~1-2%.
Sources: RRE: https://www.bworldonline.com/top-stories/2025/12/18/719639/banks-real-estate-exposure-slips/ + https://www.philstar.com/business/2025/12/18/2495110/banks-ease-exposure-real-estate (BSP RE-exposure report, Sep-2025); gross: BSP QUBS Q3-2025</t>
        </r>
      </text>
    </comment>
    <comment ref="I7" authorId="0" shapeId="0" xr:uid="{00000000-0006-0000-0100-000009000000}">
      <text>
        <r>
          <rPr>
            <sz val="10"/>
            <rFont val="Arial"/>
            <family val="2"/>
          </rPr>
          <t>CHANGED 2026-08-11
usd_bn: 42.38 -&gt; 40.50
= net / 58.0 (as-of rate).</t>
        </r>
      </text>
    </comment>
    <comment ref="G10" authorId="0" shapeId="0" xr:uid="{00000000-0006-0000-0100-000002000000}">
      <text>
        <r>
          <rPr>
            <sz val="10"/>
            <rFont val="Arial"/>
            <family val="2"/>
          </rPr>
          <t>CHANGED 2026-08-11 (senior decision: deduct mortgages, show the working)
Gross outstanding (AE): 1,865,800,000,000,000
Mortgage portion (AF): 1,178,600,000,000,000
NET (this cell) = AE - AF = 687,200,000,000,000
exact BOK split (end-Q1-2026, preliminary): loans 1,865.8tn = mortgage 1,178.6tn + other 687.2tn.
Sources: https://www.newspim.com/news/view/20260519000509 (BOK household credit release 2026-05-19)</t>
        </r>
      </text>
    </comment>
    <comment ref="I10" authorId="0" shapeId="0" xr:uid="{00000000-0006-0000-0100-00000A000000}">
      <text>
        <r>
          <rPr>
            <sz val="10"/>
            <color rgb="FF000000"/>
            <rFont val="Arial"/>
            <family val="2"/>
          </rPr>
          <t xml:space="preserve">CHANGED 2026-08-11
</t>
        </r>
        <r>
          <rPr>
            <sz val="10"/>
            <color rgb="FF000000"/>
            <rFont val="Arial"/>
            <family val="2"/>
          </rPr>
          <t xml:space="preserve">usd_bn_indicative
</t>
        </r>
        <r>
          <rPr>
            <sz val="10"/>
            <color rgb="FF000000"/>
            <rFont val="Arial"/>
            <family val="2"/>
          </rPr>
          <t xml:space="preserve">OLD: 1352.03  NEW: 497.97
</t>
        </r>
        <r>
          <rPr>
            <sz val="10"/>
            <color rgb="FF000000"/>
            <rFont val="Arial"/>
            <family val="2"/>
          </rPr>
          <t>= net (G) / 1380.0 (as-of rate).</t>
        </r>
      </text>
    </comment>
    <comment ref="G11" authorId="0" shapeId="0" xr:uid="{00000000-0006-0000-0100-000003000000}">
      <text>
        <r>
          <rPr>
            <sz val="10"/>
            <rFont val="Arial"/>
            <family val="2"/>
          </rPr>
          <t>CHANGED 2026-08-11 (senior decision: deduct mortgages, show the working)
Gross outstanding (AE): 13,843,306,000,000
Mortgage portion (AF): 11,812,652,000,000
NET (this cell) = AE - AF = 2,030,654,000,000
exact CBC house-purchase figure (Jun-2026). House-repair loans (~31bn TWD, ~1.5% of net) still included — strip from CBC xls manually if needed.
Sources: https://www.cbc.gov.tw/tw/cp-302-192631-480c5-1.html ; https://ec.ltn.com.tw/article/breakingnews/5516697</t>
        </r>
      </text>
    </comment>
    <comment ref="I11" authorId="0" shapeId="0" xr:uid="{00000000-0006-0000-0100-00000B000000}">
      <text>
        <r>
          <rPr>
            <sz val="10"/>
            <rFont val="Arial"/>
            <family val="2"/>
          </rPr>
          <t>CHANGED 2026-08-11
usd_bn_indicative
OLD: 425.95  NEW: 62.48
= net (G) / 32.5 (as-of rate).</t>
        </r>
      </text>
    </comment>
    <comment ref="G13" authorId="0" shapeId="0" xr:uid="{00000000-0006-0000-0100-000004000000}">
      <text>
        <r>
          <rPr>
            <sz val="10"/>
            <rFont val="Arial"/>
            <family val="2"/>
          </rPr>
          <t>CHANGED 2026-08-11 (updated with exact same-series figures)
Gross (AE): 998,000,000,000 - SBP total consumer financing Dec-2025
Mortgage (AF): 220,000,000,000 - house building Dec-2025 (+10.3% y/y;
cross-checked vs Nov-2025 214.3bn and Apr-2026 234.8bn)
NET = AE - AF = 778,000,000,000
NOTE: the file's previous total of 1,024bn does NOT match the SBP
Dec-2025 series (Oct 980 -&gt; Nov 987 -&gt; Dec 998 -&gt; Apr 1,070);
it was likely a ~Feb-2026 value mislabelled as Dec-2025.
Sources: https://www.techjuice.pk/bank-car-financing-surges-35-in-december-2025/ (SBP Dec-2025: total 998bn, house building 220bn); cross-checks: https://mettisglobal.news/Auto-financing-in-Pakistan-rises-to-Rs318bn-in-November-57339</t>
        </r>
      </text>
    </comment>
    <comment ref="I13" authorId="0" shapeId="0" xr:uid="{00000000-0006-0000-0100-00000C000000}">
      <text>
        <r>
          <rPr>
            <sz val="10"/>
            <rFont val="Arial"/>
            <family val="2"/>
          </rPr>
          <t>CHANGED 2026-08-11
usd_bn: 2.88 -&gt; 2.80
= net / 277.58 (as-of rate).</t>
        </r>
      </text>
    </comment>
    <comment ref="X19" authorId="0" shapeId="0" xr:uid="{00000000-0006-0000-0100-000016000000}">
      <text>
        <r>
          <rPr>
            <sz val="10"/>
            <rFont val="Arial"/>
            <family val="2"/>
          </rPr>
          <t>CHANGED 2026-08-11
OLD: 829  NEW: 785
CBN revoked 46 MFB licences eff. 01-Jul-2026.
Sources: https://leadership.ng/cbns-revocation-of-46-licences-cuts-microfinance-banks-to-785/ ; CBN notice: https://www.cbn.gov.ng/Out/2026/CCD/CBN%20Revokes%20Licenses%20of%2046%20Micofinance%20Banks.pdf ; baseline: https://fred.stlouisfed.org/series/NGAFCIODMFNUM</t>
        </r>
      </text>
    </comment>
    <comment ref="I25" authorId="0" shapeId="0" xr:uid="{00000000-0006-0000-0100-00000D000000}">
      <text>
        <r>
          <rPr>
            <sz val="10"/>
            <rFont val="Arial"/>
            <family val="2"/>
          </rPr>
          <t>CHANGED 2026-08-11
OLD: 2.3945  NEW: 2.8370
FX fixed: 10.9 -&gt; 9.2 TJS/USD.
Sources: https://www.xe.com/currencyconverter/ (USD/TJS 9.22) ; loan figure: https://nbt.tj/en/news/618354/</t>
        </r>
      </text>
    </comment>
    <comment ref="X31" authorId="0" shapeId="0" xr:uid="{00000000-0006-0000-0100-000017000000}">
      <text>
        <r>
          <rPr>
            <sz val="10"/>
            <rFont val="Arial"/>
            <family val="2"/>
          </rPr>
          <t>CHANGED 2026-08-11
OLD: 28  NEW: 48
48 active FRA consumer-finance licences at end-2025.
Sources: https://english.ahram.org.eg/News/569636.aspx ; https://enterpriseam.com/egypt/2026/05/25/whats-behind-egypts-consumer-finance-crackdown/</t>
        </r>
      </text>
    </comment>
    <comment ref="I35" authorId="0" shapeId="0" xr:uid="{00000000-0006-0000-0100-00000E000000}">
      <text>
        <r>
          <rPr>
            <sz val="10"/>
            <rFont val="Arial"/>
            <family val="2"/>
          </rPr>
          <t>CHANGED 2026-08-11
OLD: 3.5642  NEW: 3.0727
FX fixed: 4.80 -&gt; 5.5677 LYD/USD (post Apr-2025 devaluation).
Sources: rate: https://cbl.gov.ly/en/currency-exchange-rates/ + https://libyaobserver.ly/economy/central-bank-libya-devalues-dinar-133 ; loan figure: https://cbl.gov.ly/en/wp-content/uploads/sites/4/2026/04/Main_Financial_Data_and_Indicators_of_the_Libyan_Banks_2025.pdf</t>
        </r>
      </text>
    </comment>
    <comment ref="G39" authorId="0" shapeId="0" xr:uid="{00000000-0006-0000-0100-000005000000}">
      <text>
        <r>
          <rPr>
            <sz val="10"/>
            <rFont val="Arial"/>
            <family val="2"/>
          </rPr>
          <t>CHANGED 2026-08-11 (senior decision: deduct mortgages, show the working)
Gross outstanding (AE): 6,103,500,000
Mortgage portion (AF): 3,093,900,000
NET (this cell) = AE - AF = 3,009,600,000
exact CBB FSR breakdown (Jun-2025): personal loans 6,103.5M incl. property-mortgage-secured 3,093.9M.
Sources: https://www.cbb.gov.bh/wp-content/uploads/2025/11/Financial-Stability-Report-Sep-2025.pdf</t>
        </r>
      </text>
    </comment>
    <comment ref="I39" authorId="0" shapeId="0" xr:uid="{00000000-0006-0000-0100-00000F000000}">
      <text>
        <r>
          <rPr>
            <sz val="10"/>
            <rFont val="Arial"/>
            <family val="2"/>
          </rPr>
          <t>CHANGED 2026-08-11
usd_bn_indicative
OLD: 16.18  NEW: 7.98
= net (G) / 0.377 (as-of rate).</t>
        </r>
      </text>
    </comment>
    <comment ref="Z39" authorId="0" shapeId="0" xr:uid="{00000000-0006-0000-0100-00001B000000}">
      <text>
        <r>
          <rPr>
            <sz val="10"/>
            <rFont val="Arial"/>
            <family val="2"/>
          </rPr>
          <t>CHANGED 2026-08-11
OLD: 2025-09  NEW: 2024-04
Fact sheet is dated April-2024; the count of 7 inside it is from Dec-2022.
Source: https://www.cbb.gov.bh/fact-sheet/</t>
        </r>
      </text>
    </comment>
    <comment ref="G47" authorId="0" shapeId="0" xr:uid="{00000000-0006-0000-0100-000006000000}">
      <text>
        <r>
          <rPr>
            <sz val="10"/>
            <rFont val="Arial"/>
            <family val="2"/>
          </rPr>
          <t>CHANGED 2026-08-11 (senior decision: deduct mortgages, show the working)
Gross outstanding (AE): 4,190,000,000
Mortgage portion (AF): 1,080,000,000
NET (this cell) = AE - AF = 3,110,000,000
PMA series (Dec-2025): consumer credit 3.11bn + mortgage credit 1.08bn = 4.19bn household total. (The file's old 4.4bn was the Dec-2024 total.)
Sources: https://www.theglobaleconomy.com/Palestine/consumer_credit/ ; https://www.theglobaleconomy.com/Palestine/mortgage_credit/</t>
        </r>
      </text>
    </comment>
    <comment ref="I47" authorId="0" shapeId="0" xr:uid="{00000000-0006-0000-0100-000010000000}">
      <text>
        <r>
          <rPr>
            <sz val="10"/>
            <rFont val="Arial"/>
            <family val="2"/>
          </rPr>
          <t>CHANGED 2026-08-11
usd_bn_indicative
OLD: 4.40  NEW: 3.11
= net (G) / 1.0 (as-of rate).</t>
        </r>
      </text>
    </comment>
    <comment ref="I48" authorId="0" shapeId="0" xr:uid="{00000000-0006-0000-0100-000011000000}">
      <text>
        <r>
          <rPr>
            <sz val="10"/>
            <rFont val="Arial"/>
            <family val="2"/>
          </rPr>
          <t>CHANGED 2026-08-11
OLD: 60.1761  NEW: 53.2649
FX fixed: 40 -&gt; 45.19 TRY/USD (at 2026-04-29).
Source: https://www.exchange-rates.org/exchange-rate-history/try-usd-2026</t>
        </r>
      </text>
    </comment>
    <comment ref="I49" authorId="0" shapeId="0" xr:uid="{00000000-0006-0000-0100-000012000000}">
      <text>
        <r>
          <rPr>
            <sz val="10"/>
            <rFont val="Arial"/>
            <family val="2"/>
          </rPr>
          <t>CHANGED 2026-08-11
OLD: 8.378  NEW: 0.9466
FX fixed: 250 -&gt; 2,212.70 YER/USD (Jul-2025 Aden parallel avg).
Source (rate AND loan figure):
https://english.cby-ye.com/files/68ef3fd727694.pdf (CBY-Aden monthly report: rate 2,212.70 AND the YER 2,094.5bn figure)</t>
        </r>
      </text>
    </comment>
    <comment ref="G62" authorId="0" shapeId="0" xr:uid="{00000000-0006-0000-0100-000007000000}">
      <text>
        <r>
          <rPr>
            <sz val="10"/>
            <rFont val="Arial"/>
            <family val="2"/>
          </rPr>
          <t>CHANGED 2026-08-11
OLD: 8,761,000,000 ('micro-lender loan book Dec-2023') - NO official
source supports this; it matches NBFIRA's P8.731bn TOTAL ASSETS of
the whole non-bank lending sector (FY Mar-2024), garbled.
NEW: 8,500,000,000 BWP - micro-lender loans to households,
Dec-2024, Bank of Botswana Household Indebtedness Survey
(official; corroborated by state press). Dec-2023 same series: P6.4bn.
Sources: https://www.bankofbotswana.bw/sites/default/files/publications/Financial%20Stability%20Report%20October%202025-.pdf (BoB Household Indebtedness Survey: P8.5bn micro-lender loans, Dec-2024); corroborated: https://dailynews.gov.bw/news-detail/88676</t>
        </r>
      </text>
    </comment>
    <comment ref="I62" authorId="0" shapeId="0" xr:uid="{00000000-0006-0000-0100-000013000000}">
      <text>
        <r>
          <rPr>
            <sz val="10"/>
            <rFont val="Arial"/>
            <family val="2"/>
          </rPr>
          <t>CHANGED 2026-08-11
usd_bn: 0.65 -&gt; 0.608
= 8.5bn / 13.97 BWP/USD (end-Dec-2024 rate).</t>
        </r>
      </text>
    </comment>
    <comment ref="X62" authorId="0" shapeId="0" xr:uid="{00000000-0006-0000-0100-000018000000}">
      <text>
        <r>
          <rPr>
            <sz val="10"/>
            <rFont val="Arial"/>
            <family val="2"/>
          </rPr>
          <t>CHANGED 2026-08-11
OLD: 282  NEW: 407
NBFIRA Annual Report 2024, Table 2.1: 407 non-bank lenders
as at 31-Mar-2024 (282 appears in no official list).
Note: 407 covers ALL non-bank lenders (incl. finance/leasing
and pawnshops), not only micro-lenders - type relabelled.
Source: https://www.nbfira.org.bw/wp-content/uploads/2025/01/nbfira-annual-report-2024.pdf</t>
        </r>
      </text>
    </comment>
    <comment ref="G65" authorId="0" shapeId="0" xr:uid="{00000000-0006-0000-0100-000008000000}">
      <text>
        <r>
          <rPr>
            <sz val="10"/>
            <rFont val="Arial"/>
            <family val="2"/>
          </rPr>
          <t>CHANGED 2026-08-11
OLD: 663,000,000,000  NEW: 769,477,025,680 MGA (2023)
Official IMF Financial Access Survey figure replacing a dead blog.
Source: https://fred.stlouisfed.org/series/MDGFCSODMFXDC</t>
        </r>
      </text>
    </comment>
    <comment ref="I65" authorId="0" shapeId="0" xr:uid="{00000000-0006-0000-0100-000014000000}">
      <text>
        <r>
          <rPr>
            <sz val="10"/>
            <rFont val="Arial"/>
            <family val="2"/>
          </rPr>
          <t>CHANGED 2026-08-11
OLD: 0.1473  NEW: 0.1710
Follows the MGA change; same 4,500 MGA/USD conversion.
Source: https://fred.stlouisfed.org/series/MDGFCSODMFXDC</t>
        </r>
      </text>
    </comment>
    <comment ref="X71" authorId="0" shapeId="0" xr:uid="{00000000-0006-0000-0100-000019000000}">
      <text>
        <r>
          <rPr>
            <sz val="10"/>
            <rFont val="Arial"/>
            <family val="2"/>
          </rPr>
          <t>CHANGED 2026-08-11
OLD: 13,000  NEW: 5,346 (ESTIMATE)
13,000 was the Fed census mailing list; 5,346 is the Fed's
estimated universe of active finance companies (2010 census).
Source: https://www.federalreserve.gov/pubs/feds/2013/201313/201313pap.pdf (Table 7)</t>
        </r>
      </text>
    </comment>
    <comment ref="X72" authorId="0" shapeId="0" xr:uid="{00000000-0006-0000-0100-00001A000000}">
      <text>
        <r>
          <rPr>
            <sz val="10"/>
            <rFont val="Arial"/>
            <family val="2"/>
          </rPr>
          <t>CHANGED 2026-08-11
OLD: 12  NEW: 10
Live OSFI register: 10 loan companies (2 in liquidation).
Source: https://open.canada.ca/data/dataset/b27ec3ef-7338-4e76-a6fd-128339a92df5/resource/945045fa-2de0-47d4-aad2-144d69467824/download/who_we_regulate_fi_eng.csv</t>
        </r>
      </text>
    </comment>
    <comment ref="I85" authorId="0" shapeId="0" xr:uid="{00000000-0006-0000-0100-000015000000}">
      <text>
        <r>
          <rPr>
            <sz val="10"/>
            <rFont val="Arial"/>
            <family val="2"/>
          </rPr>
          <t>CHANGED 2026-08-11
OLD: 149.8667  NEW: 173.9938
FX fixed: 90 -&gt; 77.52 RUB/USD (at 2026-07-01).
Source: https://www.exchange-rates.org/exchange-rate-history/rub-usd-2026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9" authorId="0" shapeId="0" xr:uid="{00000000-0006-0000-0200-000001000000}">
      <text>
        <r>
          <rPr>
            <sz val="10"/>
            <rFont val="Arial"/>
            <family val="2"/>
          </rPr>
          <t>CHANGED 2026-08-11 R2
OLD: 829  NEW: 785
CBN revoked 46 MFB licences eff. 01-Jul-2026.</t>
        </r>
      </text>
    </comment>
    <comment ref="F31" authorId="0" shapeId="0" xr:uid="{00000000-0006-0000-0200-000002000000}">
      <text>
        <r>
          <rPr>
            <sz val="10"/>
            <rFont val="Arial"/>
            <family val="2"/>
          </rPr>
          <t>CHANGED 2026-08-11 R2
OLD: 28  NEW: 48
FRA-cited press: 48 active consumer-finance licences end-2025.</t>
        </r>
      </text>
    </comment>
    <comment ref="G39" authorId="0" shapeId="0" xr:uid="{00000000-0006-0000-0200-000005000000}">
      <text>
        <r>
          <rPr>
            <sz val="10"/>
            <rFont val="Arial"/>
            <family val="2"/>
          </rPr>
          <t>CHANGED 2026-08-11
OLD: 2025-09  NEW: 2024-04
CBB fact sheet date; count itself dated Dec-2022.</t>
        </r>
      </text>
    </comment>
    <comment ref="F71" authorId="0" shapeId="0" xr:uid="{00000000-0006-0000-0200-000003000000}">
      <text>
        <r>
          <rPr>
            <sz val="10"/>
            <rFont val="Arial"/>
            <family val="2"/>
          </rPr>
          <t>CHANGED 2026-08-11 R2
OLD: 13,000  NEW: 5,346 (ESTIMATE)
Fed 2010 census universe estimate; 13,000 was mailing-list size.</t>
        </r>
      </text>
    </comment>
    <comment ref="F72" authorId="0" shapeId="0" xr:uid="{00000000-0006-0000-0200-000004000000}">
      <text>
        <r>
          <rPr>
            <sz val="10"/>
            <rFont val="Arial"/>
            <family val="2"/>
          </rPr>
          <t>CHANGED 2026-08-11
OLD: 12  NEW: 10
Live OSFI register: 10 loan companies (2 in liquidation).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0" authorId="0" shapeId="0" xr:uid="{00000000-0006-0000-0300-000001000000}">
      <text>
        <r>
          <rPr>
            <sz val="10"/>
            <rFont val="Arial"/>
            <family val="2"/>
          </rPr>
          <t>CHANGED 2026-08-11 R2
OLD: 28  NEW: 48
FRA-cited press: 48 active licences end-2025.</t>
        </r>
      </text>
    </comment>
    <comment ref="G43" authorId="0" shapeId="0" xr:uid="{00000000-0006-0000-0300-000005000000}">
      <text>
        <r>
          <rPr>
            <sz val="10"/>
            <rFont val="Arial"/>
            <family val="2"/>
          </rPr>
          <t>CHANGED 2026-08-11
OLD: 2025-09  NEW: 2024-04
CBB fact sheet date; count itself dated Dec-2022.</t>
        </r>
      </text>
    </comment>
    <comment ref="F45" authorId="0" shapeId="0" xr:uid="{00000000-0006-0000-0300-000002000000}">
      <text>
        <r>
          <rPr>
            <sz val="10"/>
            <rFont val="Arial"/>
            <family val="2"/>
          </rPr>
          <t>CHANGED 2026-08-11
OLD: 12  NEW: 10
Live OSFI register: 10 loan companies (2 in liquidation).</t>
        </r>
      </text>
    </comment>
    <comment ref="F86" authorId="0" shapeId="0" xr:uid="{00000000-0006-0000-0300-000003000000}">
      <text>
        <r>
          <rPr>
            <sz val="10"/>
            <rFont val="Arial"/>
            <family val="2"/>
          </rPr>
          <t>CHANGED 2026-08-11 R2
OLD: 829  NEW: 785
CBN revoked 46 MFB licences eff. 01-Jul-2026.</t>
        </r>
      </text>
    </comment>
    <comment ref="F97" authorId="0" shapeId="0" xr:uid="{00000000-0006-0000-0300-000004000000}">
      <text>
        <r>
          <rPr>
            <sz val="10"/>
            <rFont val="Arial"/>
            <family val="2"/>
          </rPr>
          <t>CHANGED 2026-08-11 R2
OLD: 13,000  NEW: 5,346 (ESTIMATE)
Fed 2010 census universe estimate.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7" authorId="0" shapeId="0" xr:uid="{00000000-0006-0000-0400-000002000000}">
      <text>
        <r>
          <rPr>
            <sz val="10"/>
            <rFont val="Arial"/>
            <family val="2"/>
          </rPr>
          <t>CHANGED 2026-08-11 (TR)
OLD: 60.1761
NEW: 53.2649
FX fixed: 40 -&gt; 45.19 TRY/USD
Mirrors Country_Master_Loan col I.</t>
        </r>
      </text>
    </comment>
    <comment ref="J48" authorId="0" shapeId="0" xr:uid="{00000000-0006-0000-0400-000003000000}">
      <text>
        <r>
          <rPr>
            <sz val="10"/>
            <rFont val="Arial"/>
            <family val="2"/>
          </rPr>
          <t>CHANGED 2026-08-11 (RU)
OLD: 149.8667
NEW: 173.9938
FX fixed: 90 -&gt; 77.52 RUB/USD
Mirrors Country_Master_Loan col I.</t>
        </r>
      </text>
    </comment>
    <comment ref="J76" authorId="0" shapeId="0" xr:uid="{00000000-0006-0000-0400-000004000000}">
      <text>
        <r>
          <rPr>
            <sz val="10"/>
            <rFont val="Arial"/>
            <family val="2"/>
          </rPr>
          <t>CHANGED 2026-08-11 (TJ)
OLD: 2.3945
NEW: 2.8370
FX fixed: 10.9 -&gt; 9.2 TJS/USD
Mirrors Country_Master_Loan col I.</t>
        </r>
      </text>
    </comment>
    <comment ref="J87" authorId="0" shapeId="0" xr:uid="{00000000-0006-0000-0400-000005000000}">
      <text>
        <r>
          <rPr>
            <sz val="10"/>
            <rFont val="Arial"/>
            <family val="2"/>
          </rPr>
          <t>CHANGED 2026-08-11 (LY)
OLD: 3.5642
NEW: 3.0727
FX fixed: 4.80 -&gt; 5.5677 LYD/USD
Mirrors Country_Master_Loan col I.</t>
        </r>
      </text>
    </comment>
    <comment ref="G91" authorId="0" shapeId="0" xr:uid="{00000000-0006-0000-0400-000001000000}">
      <text>
        <r>
          <rPr>
            <sz val="10"/>
            <rFont val="Arial"/>
            <family val="2"/>
          </rPr>
          <t>CHANGED 2026-08-11 R2
OLD: 663,000,000,000
NEW: 769,477,025,680 MGA (2023)
IMF FAS via FRED, replacing dead news-blog source.</t>
        </r>
      </text>
    </comment>
    <comment ref="J93" authorId="0" shapeId="0" xr:uid="{00000000-0006-0000-0400-000006000000}">
      <text>
        <r>
          <rPr>
            <sz val="10"/>
            <rFont val="Arial"/>
            <family val="2"/>
          </rPr>
          <t>CHANGED 2026-08-11 (YE)
OLD: 8.3780
NEW: 0.9466
FX fixed: 250 -&gt; 2,212.70 YER/USD
Mirrors Country_Master_Loan col I.</t>
        </r>
      </text>
    </comment>
  </commentList>
</comments>
</file>

<file path=xl/sharedStrings.xml><?xml version="1.0" encoding="utf-8"?>
<sst xmlns="http://schemas.openxmlformats.org/spreadsheetml/2006/main" count="7018" uniqueCount="2204">
  <si>
    <t>NBFC LOAN BOOK — VERIFIED WORKBOOK (README)</t>
  </si>
  <si>
    <t>1. WHAT WAS DONE (VERIFICATION PATH)</t>
  </si>
  <si>
    <t>Step 1</t>
  </si>
  <si>
    <t>Internal consistency check on all 84 country rows: FX math (local amount ÷ USD value), cross-checks between Country_Master_Loan, Loan_Book_Detail, Country_Master_Institutions and Institution_Count_Detail. All sheets reconcile.</t>
  </si>
  <si>
    <t>Step 2</t>
  </si>
  <si>
    <t>Every verified row's outstanding-loan figure and institution count was checked against its cited source (fetched live, or corroborated via official/press sources when the site blocks robots).</t>
  </si>
  <si>
    <t>Step 3</t>
  </si>
  <si>
    <t>All USD conversions checked against actual exchange rates. Conversions more than 10% off a verifiable rate were corrected (e.g. Yemen was converted at the obsolete pre-war rate — ~9x overstated).</t>
  </si>
  <si>
    <t>Step 4</t>
  </si>
  <si>
    <t>Institution counts re-checked against live regulator registers (e.g. Nigeria updated for the July-2026 licence revocations; Egypt corrected to the FRA-cited 48).</t>
  </si>
  <si>
    <t>Step 5</t>
  </si>
  <si>
    <t>Senior decision applied: where a series includes mortgages/housing loans, the mortgage portion is deducted and the working is shown (see section 3 below). Where no pure NBFC series exists, bank or mixed series are accepted and labelled (column AG).</t>
  </si>
  <si>
    <t>Step 6</t>
  </si>
  <si>
    <t>Every change is documented three ways: an Excel comment on the changed cell (old → new value, reason, source link), a plain-language note in column AC, and a full entry in the Change_Log sheet.</t>
  </si>
  <si>
    <t>2. COLUMN AC — VERIFICATION COMMENTS (5 categories)</t>
  </si>
  <si>
    <t>OK</t>
  </si>
  <si>
    <t>Number checked against its source and correct. No change made to the original data.</t>
  </si>
  <si>
    <t>FLAG-SOURCE</t>
  </si>
  <si>
    <t>FLAG-SCOPE</t>
  </si>
  <si>
    <t>Data verified as correct, but the loan amount is not a pure NBFC/non-bank figure (bank or mixed series). See column AG for the classification.</t>
  </si>
  <si>
    <t>CHANGED</t>
  </si>
  <si>
    <t>The value was wrong (or adjusted per the mortgage policy) and has been changed. The comment names the exact cell(s); hover over those cells for old → new values, reason and source. AC cell is highlighted orange.</t>
  </si>
  <si>
    <t>PENDING</t>
  </si>
  <si>
    <t>No usable source existed in the original file; row left blank and excluded from totals (Algeria, Sudan, Lebanon, Iraq, Iran).</t>
  </si>
  <si>
    <t>3. KEY COLUMNS</t>
  </si>
  <si>
    <t>AD</t>
  </si>
  <si>
    <t>AG</t>
  </si>
  <si>
    <t>4. OTHER SHEETS</t>
  </si>
  <si>
    <t>Change_Log</t>
  </si>
  <si>
    <t>Every change with date, cell, country, old value, new value, reason and source URL. Kept for audit; can be deleted before external sharing if desired.</t>
  </si>
  <si>
    <t>Loan_Book_Detail etc.</t>
  </si>
  <si>
    <t>Original detail sheets — kept in sync with every change (mirror notes in their qc/notes columns).</t>
  </si>
  <si>
    <t>QA_Checks</t>
  </si>
  <si>
    <t>Running log of each verification round.</t>
  </si>
  <si>
    <t>5. OPEN ITEMS</t>
  </si>
  <si>
    <t>Philippines</t>
  </si>
  <si>
    <t>Pakistan</t>
  </si>
  <si>
    <t>Taiwan</t>
  </si>
  <si>
    <t>Oman</t>
  </si>
  <si>
    <t>Botswana</t>
  </si>
  <si>
    <t>country_code</t>
  </si>
  <si>
    <t>country_name_en</t>
  </si>
  <si>
    <t>country_name_zh</t>
  </si>
  <si>
    <t>refresh_status</t>
  </si>
  <si>
    <t>recommended_scope</t>
  </si>
  <si>
    <t>recommended_metric</t>
  </si>
  <si>
    <t>outstanding_local</t>
  </si>
  <si>
    <t>currency</t>
  </si>
  <si>
    <t>usd_bn_indicative</t>
  </si>
  <si>
    <t>as_of</t>
  </si>
  <si>
    <t>quality</t>
  </si>
  <si>
    <t>source_url</t>
  </si>
  <si>
    <t>evidence_file</t>
  </si>
  <si>
    <t>prior_json_usd_bn</t>
  </si>
  <si>
    <t>notes</t>
  </si>
  <si>
    <t>development_label_imf</t>
  </si>
  <si>
    <t>imf_weo_group</t>
  </si>
  <si>
    <t>wb_income_group</t>
  </si>
  <si>
    <t>wb_income_code</t>
  </si>
  <si>
    <t>wb_region</t>
  </si>
  <si>
    <t>oecd_member</t>
  </si>
  <si>
    <t>class_tag</t>
  </si>
  <si>
    <t>classification_notes</t>
  </si>
  <si>
    <t>institution_count</t>
  </si>
  <si>
    <t>institution_type</t>
  </si>
  <si>
    <t>institution_as_of</t>
  </si>
  <si>
    <t>institution_quality</t>
  </si>
  <si>
    <t>institution_source_url</t>
  </si>
  <si>
    <t>verification_comments_20260811</t>
  </si>
  <si>
    <t>usd_bn_current_fx_20260811</t>
  </si>
  <si>
    <t>gross_outstanding_incl_mortgage_local</t>
  </si>
  <si>
    <t>mortgage_portion_local</t>
  </si>
  <si>
    <t>lender_type_classification</t>
  </si>
  <si>
    <t>IN</t>
  </si>
  <si>
    <t>India</t>
  </si>
  <si>
    <t>印度</t>
  </si>
  <si>
    <t>VERIFIED</t>
  </si>
  <si>
    <t>Non-bank NBFC loans &amp; advances (total)</t>
  </si>
  <si>
    <t>NBFC Loans and Advances (gross)</t>
  </si>
  <si>
    <t>INR</t>
  </si>
  <si>
    <t>2025-03</t>
  </si>
  <si>
    <t>official</t>
  </si>
  <si>
    <t>https://www.rbi.org.in/Scripts/PublicationsView.aspx?id=23641</t>
  </si>
  <si>
    <r>
      <rPr>
        <sz val="11"/>
        <color theme="1"/>
        <rFont val="Calibri"/>
        <family val="2"/>
        <charset val="1"/>
      </rPr>
      <t>Prior JSON≈508.6bn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verified≈508.6bn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</si>
  <si>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Developing/Emerging</t>
  </si>
  <si>
    <t>Emerging market and developing economy</t>
  </si>
  <si>
    <t>Lower middle income</t>
  </si>
  <si>
    <t>LMC</t>
  </si>
  <si>
    <t>South Asia</t>
  </si>
  <si>
    <t>No</t>
  </si>
  <si>
    <t>Emerging market &amp; developing economy|WB Lower middle income|OECD No</t>
  </si>
  <si>
    <t>NBFC (Upper + Middle Layer supervisory sample)</t>
  </si>
  <si>
    <t>2025-03-31</t>
  </si>
  <si>
    <t>OK: matches RBI source. True non-bank data.</t>
  </si>
  <si>
    <t>pure non-bank</t>
  </si>
  <si>
    <t>CN</t>
  </si>
  <si>
    <t>China</t>
  </si>
  <si>
    <t>中国</t>
  </si>
  <si>
    <t>Non-bank personal consumer loans (consumer finance cos.)</t>
  </si>
  <si>
    <t>Consumer finance companies — loan outstanding</t>
  </si>
  <si>
    <t>CNY</t>
  </si>
  <si>
    <t>2025-12</t>
  </si>
  <si>
    <t>semi-official</t>
  </si>
  <si>
    <t>https://en.people.cn/n3/2026/0731/c90000-20483849.html</t>
  </si>
  <si>
    <r>
      <rPr>
        <sz val="11"/>
        <color theme="1"/>
        <rFont val="Calibri"/>
        <family val="2"/>
        <charset val="1"/>
      </rPr>
      <t>Prior JSON≈199.3bn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verified≈211.9bn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</si>
  <si>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Upper middle income</t>
  </si>
  <si>
    <t>UMC</t>
  </si>
  <si>
    <t>East Asia &amp; Pacific</t>
  </si>
  <si>
    <t>Emerging market &amp; developing economy|WB Upper middle income|OECD No</t>
  </si>
  <si>
    <t>Microloan companies</t>
  </si>
  <si>
    <t>2025-09-30</t>
  </si>
  <si>
    <t>https://www.pbc.gov.cn/diaochatongjisi/116219/116225/5885724/index.html</t>
  </si>
  <si>
    <t>FLAG-SOURCE: loan figure from press, not the regulator. Count (4,863 microloan companies) is a different group than the consumer-finance companies behind the loan figure.</t>
  </si>
  <si>
    <t>ID</t>
  </si>
  <si>
    <t>Indonesia</t>
  </si>
  <si>
    <t>印度尼西亚</t>
  </si>
  <si>
    <t>Non-bank P2P outstanding (consumer + productive)</t>
  </si>
  <si>
    <t>Fintech P2P Lending outstanding</t>
  </si>
  <si>
    <t>IDR</t>
  </si>
  <si>
    <t>2026-03</t>
  </si>
  <si>
    <t>https://iru.ojk.go.id/iru/Website/ArticleList/View/1010_Financing_Institutions,_Venture_Capital,_Fintech_P2P_Lending_and_Micro_Finance_Industry_Update_March_2026</t>
  </si>
  <si>
    <r>
      <rPr>
        <sz val="11"/>
        <color theme="1"/>
        <rFont val="Calibri"/>
        <family val="2"/>
        <charset val="1"/>
      </rPr>
      <t>Prior JSON≈28.0bn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</si>
  <si>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/ multifinance companies</t>
  </si>
  <si>
    <t>2025-06-30</t>
  </si>
  <si>
    <t>https://ojk.go.id/id/kanal/iknb/data-dan-statistik/direktori/lembaga-pembiayaan/Pages/Direktori-Lembaga-Pembiayaan-dan-PMV-Juni-2025.aspx</t>
  </si>
  <si>
    <t>OK: matches OJK source. True non-bank (P2P).</t>
  </si>
  <si>
    <t>TH</t>
  </si>
  <si>
    <t>Thailand</t>
  </si>
  <si>
    <t>泰国</t>
  </si>
  <si>
    <t>Non-bank personal loans (supervised)</t>
  </si>
  <si>
    <t>Personal Loan under Supervision — Non-Banks outstanding</t>
  </si>
  <si>
    <t>THB</t>
  </si>
  <si>
    <t>2026-06</t>
  </si>
  <si>
    <t>https://app.bot.or.th/BTWS_STAT/statistics/BOTWEBSTAT.aspx?language=ENG&amp;reportID=1010</t>
  </si>
  <si>
    <r>
      <rPr>
        <sz val="11"/>
        <color theme="1"/>
        <rFont val="Calibri"/>
        <family val="2"/>
        <charset val="1"/>
      </rPr>
      <t>Prior JSON≈19.2bn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verified≈19.3bn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</si>
  <si>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Nano finance providers (banks + non-banks)</t>
  </si>
  <si>
    <t>2025-06</t>
  </si>
  <si>
    <t>https://app.bot.or.th/BTWS_STAT/statistics/ReportPage.aspx?language=eng&amp;reportID=876</t>
  </si>
  <si>
    <t>OK: matches BOT source. True non-bank.</t>
  </si>
  <si>
    <t>MY</t>
  </si>
  <si>
    <t>Malaysia</t>
  </si>
  <si>
    <t>马来西亚</t>
  </si>
  <si>
    <t>Personal loans total (banking system – personal uses)</t>
  </si>
  <si>
    <t>Banking System Household Loan — Personal Uses</t>
  </si>
  <si>
    <t>MYR</t>
  </si>
  <si>
    <t>https://www.bnm.gov.my/documents/20124/22576999/1.19.6.xlsx</t>
  </si>
  <si>
    <r>
      <rPr>
        <sz val="11"/>
        <color theme="1"/>
        <rFont val="Calibri"/>
        <family val="2"/>
        <charset val="1"/>
      </rPr>
      <t>Prior JSON≈47.3bn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verified≈29.4bn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</si>
  <si>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Development financial institutions (DFIs)</t>
  </si>
  <si>
    <t>2026</t>
  </si>
  <si>
    <t>https://corpwb01.bnm.gov.my/list-of-development-financial-institutions</t>
  </si>
  <si>
    <t>FLAG-SCOPE: this is bank lending, not non-bank. (Count of 6 DFIs confirmed.)</t>
  </si>
  <si>
    <t>pure bank</t>
  </si>
  <si>
    <t>PH</t>
  </si>
  <si>
    <t>菲律宾</t>
  </si>
  <si>
    <t>Consumer loans (banks)</t>
  </si>
  <si>
    <t>Consumer loans excl. residential real estate (net, U/C/Thrift banks)</t>
  </si>
  <si>
    <t>PHP</t>
  </si>
  <si>
    <t>2025-09</t>
  </si>
  <si>
    <t>https://www.bsp.gov.ph/Media_And_Research/Publications/QUBS-2025-Q3.pdf</t>
  </si>
  <si>
    <r>
      <rPr>
        <sz val="11"/>
        <color theme="1"/>
        <rFont val="Calibri"/>
        <family val="2"/>
        <charset val="1"/>
      </rPr>
      <t>Prior JSON≈12.0bn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verified≈48.0bn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</si>
  <si>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AMLC registration-active lending &amp; financing companies</t>
  </si>
  <si>
    <t>2026-01-31</t>
  </si>
  <si>
    <t>http://www.amlc.gov.ph/images/PDFs/Main/SEC310126.pdf</t>
  </si>
  <si>
    <t>CHANGED (cells G7=AE7-AF7, I7, AF7): mortgage deducted with the EXACT BSP figure. Gross 3,537.0bn − RRE 1,188.0bn (end-Sep-2025, BSP RE-exposure report; replaces the earlier derived 1,078.8bn — the 30.5% share in press was the credit-card share, RRE is ~33.9%) = net 2,349.0bn PHP ($40.50bn). Count 2,748 relabelled: it counts AMLC registration-active lending &amp; financing companies (not SEC Certificates of Authority) — number itself still needs a manual tally of the AMLC 30-Jan-2026 list. Scope: bank lending, accepted by decision. Sources: RRE: https://www.bworldonline.com/top-stories/2025/12/18/719639/banks-real-estate-exposure-slips/ + https://www.philstar.com/business/2025/12/18/2495110/banks-ease-exposure-real-estate (BSP RE-exposure report, Sep-2025); gross: BSP QUBS Q3-2025</t>
  </si>
  <si>
    <t>VN</t>
  </si>
  <si>
    <t>Vietnam</t>
  </si>
  <si>
    <t>越南</t>
  </si>
  <si>
    <t>Finance companies – living-purpose/consumer loans</t>
  </si>
  <si>
    <t>Finance companies — consumer lending outstanding (PVNCĐS)</t>
  </si>
  <si>
    <t>VND</t>
  </si>
  <si>
    <t>2024-09</t>
  </si>
  <si>
    <t>https://div.gov.vn/da-dang-hoa-va-so-hoa-san-pham-cho-vay-tieu-dung-gop-phan-ngan-ngua-tin-dung-den</t>
  </si>
  <si>
    <r>
      <rPr>
        <sz val="11"/>
        <color theme="1"/>
        <rFont val="Calibri"/>
        <family val="2"/>
        <charset val="1"/>
      </rPr>
      <t>No citable official/semi-official absolute amount this round; amount left blank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</si>
  <si>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companies</t>
  </si>
  <si>
    <t>2025-03-30</t>
  </si>
  <si>
    <t>https://sbv.gov.vn/en/finance-companies</t>
  </si>
  <si>
    <t>OK: matches SBV source. True non-bank. (Data from Sep-2024, oldest big market.)</t>
  </si>
  <si>
    <t>JP</t>
  </si>
  <si>
    <t>Japan</t>
  </si>
  <si>
    <t>日本</t>
  </si>
  <si>
    <t>Non-bank personal loans (moneylenders, consumer)</t>
  </si>
  <si>
    <t>Moneylenders — consumer-direction loan outstanding</t>
  </si>
  <si>
    <t>JPY</t>
  </si>
  <si>
    <t>https://www.fsa.go.jp/status/kasikin/20251128/01.pdf</t>
  </si>
  <si>
    <t>nbfc-evidence/2026-08-10/JP_FSA_kasikin_202503.pdf</t>
  </si>
  <si>
    <r>
      <rPr>
        <sz val="11"/>
        <color theme="1"/>
        <rFont val="Calibri"/>
        <family val="2"/>
        <charset val="1"/>
      </rPr>
      <t>Prior JSON≈274.8bn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verified≈53.9bn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</si>
  <si>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Developed</t>
  </si>
  <si>
    <t>Advanced economy</t>
  </si>
  <si>
    <t>High income</t>
  </si>
  <si>
    <t>HIC</t>
  </si>
  <si>
    <t>Yes</t>
  </si>
  <si>
    <t>Advanced economy|WB High income|OECD Yes</t>
  </si>
  <si>
    <t>Moneylenders</t>
  </si>
  <si>
    <t>https://www.fsa.go.jp/status/kasikin/20250807/index.html</t>
  </si>
  <si>
    <t>OK: matches FSA source (moneylenders). True non-bank.</t>
  </si>
  <si>
    <t>KR</t>
  </si>
  <si>
    <t>South Korea</t>
  </si>
  <si>
    <t>韩国</t>
  </si>
  <si>
    <t>Household loans total</t>
  </si>
  <si>
    <t>Household loans excl. housing-secured (net, all lenders)</t>
  </si>
  <si>
    <t>KRW</t>
  </si>
  <si>
    <t>https://www.bok.or.kr/eng/bbs/E0000634/view.do?depth=400069&amp;menuNo=400069&amp;nttId=10098043&amp;oldMenuNo=400007&amp;programType=newsDataEng&amp;relate=Y</t>
  </si>
  <si>
    <r>
      <rPr>
        <sz val="11"/>
        <color theme="1"/>
        <rFont val="Calibri"/>
        <family val="2"/>
        <charset val="1"/>
      </rPr>
      <t>Prior JSON≈155.0bn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verified≈1352.0bn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</si>
  <si>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Non-card specialized credit finance companies</t>
  </si>
  <si>
    <t>2025-12-31</t>
  </si>
  <si>
    <t>https://heraldk.com/2026/03/18/%ec%88%98%ec%88%98%eb%a3%8c-%ec%88%98%ec%9d%b5-%ec%95%85%ed%99%94%ec%97%90-%ec%a7%80%eb%82%9c%ed%95%b4-%ec%b9%b4%eb%93%9c%ec%82%ac-%ec%88%9c%ec%9d%b4%ec%9d%b5-8-9-%ea%b0%90%ec%86%8c/</t>
  </si>
  <si>
    <t>CHANGED (cells G10=AE10-AF10, I10): mortgage deducted per senior decision. Gross 1,865.8tn − mortgage 1,178.6tn = net 687.2tn KRW ($497.97bn); exact BOK split, end-Mar-2026 (preliminary). Scope: all lenders (banks + non-banks), accepted by decision. Count citation still press-hosted. Source: https://www.newspim.com/news/view/20260519000509 (BOK household credit release 2026-05-19)</t>
  </si>
  <si>
    <t>mixed</t>
  </si>
  <si>
    <t>TW</t>
  </si>
  <si>
    <t>中国台湾</t>
  </si>
  <si>
    <t>Consumer loans subtotal (all banks)</t>
  </si>
  <si>
    <t>Consumer loans excl. house-purchase loans (net)</t>
  </si>
  <si>
    <t>TWD</t>
  </si>
  <si>
    <r>
      <rPr>
        <sz val="11"/>
        <color theme="1"/>
        <rFont val="Calibri"/>
        <family val="2"/>
        <charset val="1"/>
      </rPr>
      <t>https://www.cbc.gov.tw/public/data/OpenData/</t>
    </r>
    <r>
      <rPr>
        <sz val="11"/>
        <color theme="1"/>
        <rFont val="Noto Sans CJK SC"/>
        <family val="2"/>
      </rPr>
      <t>經研處</t>
    </r>
    <r>
      <rPr>
        <sz val="11"/>
        <color theme="1"/>
        <rFont val="Calibri"/>
        <family val="2"/>
        <charset val="1"/>
      </rPr>
      <t>/EF99M01.csv</t>
    </r>
  </si>
  <si>
    <r>
      <rPr>
        <sz val="11"/>
        <color theme="1"/>
        <rFont val="Calibri"/>
        <family val="2"/>
        <charset val="1"/>
      </rPr>
      <t>Prior JSON≈85.0bn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verified≈425.9bn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</si>
  <si>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r>
      <rPr>
        <sz val="11"/>
        <color theme="1"/>
        <rFont val="Calibri"/>
        <family val="2"/>
        <charset val="1"/>
      </rPr>
      <t>East Asia &amp; Pacific (IMF/geo; WB</t>
    </r>
    <r>
      <rPr>
        <sz val="11"/>
        <color theme="1"/>
        <rFont val="Noto Sans CJK SC"/>
        <family val="2"/>
      </rPr>
      <t>无独立经济体条目</t>
    </r>
    <r>
      <rPr>
        <sz val="11"/>
        <color theme="1"/>
        <rFont val="Calibri"/>
        <family val="2"/>
        <charset val="1"/>
      </rPr>
      <t>)</t>
    </r>
  </si>
  <si>
    <t>Advanced economy|WB Income n/a|OECD No</t>
  </si>
  <si>
    <t>世界银行国家API无台湾独立条目；收入分组留空，IMF列为Advanced</t>
  </si>
  <si>
    <t>Bills finance companies</t>
  </si>
  <si>
    <t>https://www.banking.gov.tw/websitedowndoc?file=chbanking%2F202510161620380.pdf&amp;filedisplay=%E5%B0%88%E7%87%9F%E5%8F%8A%E5%85%BC%E7%87%9F%E7%A5%A8%E5%88%B8%E5%95%86%E5%AE%B6%E6%95%B8%E7%B5%B1%E8%A8%88.pdf</t>
  </si>
  <si>
    <t>CHANGED (cells G11=AE11-AF11, I11): mortgage deducted per senior decision. Gross 13,843.3bn − house-purchase 11,812.7bn (exact CBC) = net 2,030.7bn TWD ($62.48bn). House-repair loans (~31bn, ~1.5% of net) still inside — strip manually from CBC xls if needed. Scope: bank lending, accepted by decision. Source: https://www.cbc.gov.tw/tw/cp-302-192631-480c5-1.html ; https://ec.ltn.com.tw/article/breakingnews/5516697</t>
  </si>
  <si>
    <t>BD</t>
  </si>
  <si>
    <t>Bangladesh</t>
  </si>
  <si>
    <t>孟加拉</t>
  </si>
  <si>
    <t>Finance companies loans &amp; advances</t>
  </si>
  <si>
    <t>Finance Companies total loans/advances</t>
  </si>
  <si>
    <t>BDT</t>
  </si>
  <si>
    <t>2026-03-31</t>
  </si>
  <si>
    <t>https://www.bb.org.bd/pub/quaterly/cmsme/cmsme_jan_mar%202026.pdf</t>
  </si>
  <si>
    <t>MRA-licensed microfinance institutions</t>
  </si>
  <si>
    <t>2024-12</t>
  </si>
  <si>
    <t>https://www.bb.org.bd/pub/special/sp2025-02.pdf</t>
  </si>
  <si>
    <t>OK: matches Bangladesh Bank source. Non-bank.</t>
  </si>
  <si>
    <t>PK</t>
  </si>
  <si>
    <t>巴基斯坦</t>
  </si>
  <si>
    <t>Consumer financing (banking sector)</t>
  </si>
  <si>
    <t>Consumer financing excl. house building (net, banking sector)</t>
  </si>
  <si>
    <t>PKR</t>
  </si>
  <si>
    <t>https://www.sbp.org.pk/assets/document/The_Banking_Sector_Stability_2025.pdf</t>
  </si>
  <si>
    <r>
      <rPr>
        <sz val="11"/>
        <color theme="1"/>
        <rFont val="Calibri"/>
        <family val="2"/>
        <charset val="1"/>
      </rPr>
      <t>Prior JSON≈1.36bn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</si>
  <si>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Middle East, North Africa, Afghanistan &amp; Pakistan</t>
  </si>
  <si>
    <t>Lending NBFCs (incl. Modarabas)</t>
  </si>
  <si>
    <t>https://www.secp.gov.pk/data-and-statistics/nbfcs/</t>
  </si>
  <si>
    <t>CHANGED (cells G13=AE13-AF13, I13, AE13, AF13): switched to exact, same-month SBP figures. Gross 998bn (Dec-2025 total; the file's 1,024bn doesn't match the SBP series and was likely a ~Feb-2026 value) − house building 220bn (exact, cross-checked against Nov-2025 and Apr-2026) = net 778bn PKR ($2.80bn). Scope: bank lending, accepted by decision. Sources: https://www.techjuice.pk/bank-car-financing-surges-35-in-december-2025/ (SBP Dec-2025: total 998bn, house building 220bn); cross-checks: https://mettisglobal.news/Auto-financing-in-Pakistan-rises-to-Rs318bn-in-November-57339</t>
  </si>
  <si>
    <t>LK</t>
  </si>
  <si>
    <t>Sri Lanka</t>
  </si>
  <si>
    <t>斯里兰卡</t>
  </si>
  <si>
    <t>Licensed finance companies loans &amp; advances (net)</t>
  </si>
  <si>
    <t>LFC Loans &amp; Advances (Net)</t>
  </si>
  <si>
    <t>LKR</t>
  </si>
  <si>
    <t>https://www.cbsl.gov.lk/sites/default/files/cbslweb_documents/publications/financial_soundness_indicators_2026_q1.pdf</t>
  </si>
  <si>
    <t>nbfc-evidence/2026-08-10/LK_CBSL_FSI_2026Q1.pdf</t>
  </si>
  <si>
    <t>Licensed finance companies</t>
  </si>
  <si>
    <t>2026-08-10</t>
  </si>
  <si>
    <t>https://www.cbsl.gov.lk/en/authorized-financial-institutions/licensed-finance-companies</t>
  </si>
  <si>
    <t>OK: matches CBSL source. Non-bank.</t>
  </si>
  <si>
    <t>MX</t>
  </si>
  <si>
    <t>Mexico</t>
  </si>
  <si>
    <t>墨西哥</t>
  </si>
  <si>
    <t>Commercial bank personal loans</t>
  </si>
  <si>
    <t>Personal loans (commercial banks)</t>
  </si>
  <si>
    <t>MXN</t>
  </si>
  <si>
    <t>https://www.banxico.org.mx/publicaciones-y-prensa/agregados-monetarios-y-actividad-financiera/%7B44975FD1-D9A4-7733-F717-F2CBB857196F%7D.pdf</t>
  </si>
  <si>
    <r>
      <rPr>
        <sz val="11"/>
        <color theme="1"/>
        <rFont val="Calibri"/>
        <family val="2"/>
        <charset val="1"/>
      </rPr>
      <t>Prior JSON≈40.6bn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verified≈16.1bn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</si>
  <si>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Latin America &amp; Caribbean</t>
  </si>
  <si>
    <t>Emerging market &amp; developing economy|WB Upper middle income|OECD Yes</t>
  </si>
  <si>
    <t>SOFOM E.N.R. (in operation)</t>
  </si>
  <si>
    <t>2025-H1</t>
  </si>
  <si>
    <t>https://credenz.com.mx/wp-content/uploads/2020/09/Periodo_Enero_Junio_2025.pdf</t>
  </si>
  <si>
    <t>FLAG-SCOPE: bank personal loans, not non-bank. (Count document is a mirror copy — cite CNBV directly.)</t>
  </si>
  <si>
    <t>BR</t>
  </si>
  <si>
    <t>Brazil</t>
  </si>
  <si>
    <t>巴西</t>
  </si>
  <si>
    <t>Personal credit total (free resources – individuals)</t>
  </si>
  <si>
    <t>Personal credit total (SGS 20580)</t>
  </si>
  <si>
    <t>BRL</t>
  </si>
  <si>
    <t>https://api.bcb.gov.br/dados/serie/bcdata.sgs.20580/dados/ultimos/3?formato=json</t>
  </si>
  <si>
    <r>
      <rPr>
        <sz val="11"/>
        <color theme="1"/>
        <rFont val="Calibri"/>
        <family val="2"/>
        <charset val="1"/>
      </rPr>
      <t>Prior JSON≈95.0bn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verified≈215.0bn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</si>
  <si>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Direct credit companies (SCD)</t>
  </si>
  <si>
    <t>2026-08</t>
  </si>
  <si>
    <t>https://olinda.bcb.gov.br/olinda/servico/Instituicoes_em_funcionamento/versao/v1/odata/SedesSociedades</t>
  </si>
  <si>
    <t>FLAG-SCOPE: all-lender credit series (mostly banks), not non-bank. Value verified.</t>
  </si>
  <si>
    <t>KE</t>
  </si>
  <si>
    <t>Kenya</t>
  </si>
  <si>
    <t>肯尼亚</t>
  </si>
  <si>
    <t>Non-bank digital credit providers (DCP) outstanding</t>
  </si>
  <si>
    <t>Digital Credit Providers loans to private sector</t>
  </si>
  <si>
    <t>KES</t>
  </si>
  <si>
    <t>https://www.cma.or.ke/wp-content/uploads/2025/09/Kenya-Financial-Sector-Stability-Report-Sept.-2025.pdf</t>
  </si>
  <si>
    <t>nbfc-evidence/2026-08-10/KE_CMA_FSSR_2025.pdf</t>
  </si>
  <si>
    <r>
      <rPr>
        <sz val="11"/>
        <color theme="1"/>
        <rFont val="Calibri"/>
        <family val="2"/>
        <charset val="1"/>
      </rPr>
      <t>Prior JSON≈0.427bn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verified≈0.6bn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</si>
  <si>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Sub-Saharan Africa</t>
  </si>
  <si>
    <t>Licensed digital credit providers (DCPs)</t>
  </si>
  <si>
    <t>2025-12-24</t>
  </si>
  <si>
    <t>https://www.centralbank.go.ke/uploads/press_releases/233147333_Press%20Release%20%20-%20%20Licensing%20of%20Digital%20Credit%20Providers.pdf</t>
  </si>
  <si>
    <t>OK: matches CBK source; confirmed it is an outstanding balance, not a flow. Non-bank.</t>
  </si>
  <si>
    <t>ZA</t>
  </si>
  <si>
    <t>South Africa</t>
  </si>
  <si>
    <t>南非</t>
  </si>
  <si>
    <t>Other credit providers debtors book (mostly non-bank)</t>
  </si>
  <si>
    <t>Other credit providers — debtors book</t>
  </si>
  <si>
    <t>ZAR</t>
  </si>
  <si>
    <t>https://www.ncr.org.za/documents/CCMR/CCMR_Q2%202025.pdf</t>
  </si>
  <si>
    <t>nbfc-evidence/2026-08-10/ZA_NCR_CCMR_Q2_2025.pdf</t>
  </si>
  <si>
    <r>
      <rPr>
        <sz val="11"/>
        <color theme="1"/>
        <rFont val="Calibri"/>
        <family val="2"/>
        <charset val="1"/>
      </rPr>
      <t>Prior JSON≈9.53bn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verified≈135.5bn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</si>
  <si>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NCR-registered credit providers</t>
  </si>
  <si>
    <t>https://nationalgovernment.co.za/entity_annual/4208/2025-national-credit-regulator-(ncr)-annual-report.pdf</t>
  </si>
  <si>
    <t>FLAG-SCOPE: loan value verified (NCR), but the count 8,147 covers ALL credit providers including banks — different group.</t>
  </si>
  <si>
    <t>NG</t>
  </si>
  <si>
    <t>Nigeria</t>
  </si>
  <si>
    <t>尼日利亚</t>
  </si>
  <si>
    <t>Consumer credit (other deposit corporations)</t>
  </si>
  <si>
    <t>Consumer credit outstanding (ODCs)</t>
  </si>
  <si>
    <t>NGN</t>
  </si>
  <si>
    <t>https://www.cbn.gov.ng/Out/2026/CCD/Annual%20Report.pdf</t>
  </si>
  <si>
    <r>
      <rPr>
        <sz val="11"/>
        <color theme="1"/>
        <rFont val="Calibri"/>
        <family val="2"/>
        <charset val="1"/>
      </rPr>
      <t>Prior JSON≈0.9538bn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</si>
  <si>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Microfinance banks (MFBs)</t>
  </si>
  <si>
    <t>2026-07-01</t>
  </si>
  <si>
    <t>https://leadership.ng/cbns-revocation-of-46-licences-cuts-microfinance-banks-to-785/</t>
  </si>
  <si>
    <t>CHANGED (cell X19): count 829 -&gt; 785. CBN cancelled 46 microfinance-bank licences in July 2026; 829 also came from an unofficial website. Loan figure itself verified. Source: https://leadership.ng/cbns-revocation-of-46-licences-cuts-microfinance-banks-to-785/ ; CBN notice: https://www.cbn.gov.ng/Out/2026/CCD/CBN%20Revokes%20Licenses%20of%2046%20Micofinance%20Banks.pdf ; baseline: https://fred.stlouisfed.org/series/NGAFCIODMFNUM</t>
  </si>
  <si>
    <t>GH</t>
  </si>
  <si>
    <t>Ghana</t>
  </si>
  <si>
    <t>加纳</t>
  </si>
  <si>
    <t>Savings &amp; Loans net loans</t>
  </si>
  <si>
    <t>Net loans – Savings and Loans</t>
  </si>
  <si>
    <t>GHS</t>
  </si>
  <si>
    <t>2024-12-31</t>
  </si>
  <si>
    <t>https://dailyguidenetwork.com/savings-loans-sector-grows-asset-by-30-6/</t>
  </si>
  <si>
    <t>https://www.bog.gov.gh/supervision-regulation/registered-institutions/finance-houses/</t>
  </si>
  <si>
    <t>FLAG-SCOPE: loan is savings &amp; loan companies but the count is finance houses — different groups. Source not a regulator page.</t>
  </si>
  <si>
    <t>MN</t>
  </si>
  <si>
    <t>Mongolia</t>
  </si>
  <si>
    <t>外蒙古</t>
  </si>
  <si>
    <t>NBFI total loans</t>
  </si>
  <si>
    <t>MNT</t>
  </si>
  <si>
    <t>https://www.frc.mn/resources/Image/Document/202602/M8gDX/Urult-toim-2025.pdf</t>
  </si>
  <si>
    <t>Non-bank financial institutions</t>
  </si>
  <si>
    <t>2025-Q3</t>
  </si>
  <si>
    <t>https://www.frc.mn/resources/Image/Document/202512/7ItJz/Urult-toim-2025-%D0%BB%D0%B0%D1%81%D1%82.pdf</t>
  </si>
  <si>
    <t>OK: matches FRC source. Non-bank.</t>
  </si>
  <si>
    <t>KZ</t>
  </si>
  <si>
    <t>Kazakhstan</t>
  </si>
  <si>
    <t>哈萨克斯坦</t>
  </si>
  <si>
    <t>Unsecured consumer loans</t>
  </si>
  <si>
    <t>Unsecured consumer lending outstanding</t>
  </si>
  <si>
    <t>KZT</t>
  </si>
  <si>
    <t>https://nationalbank.kz/file/download/130774</t>
  </si>
  <si>
    <r>
      <rPr>
        <sz val="11"/>
        <color theme="1"/>
        <rFont val="Calibri"/>
        <family val="2"/>
        <charset val="1"/>
      </rPr>
      <t>Prior JSON≈8.5bn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</si>
  <si>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Europe &amp; Central Asia</t>
  </si>
  <si>
    <t>Microfinance organizations</t>
  </si>
  <si>
    <t>2025-10-01</t>
  </si>
  <si>
    <t>https://www.gov.kz/memleket/entities/ardfm/press/news/details/1118108?lang=ru</t>
  </si>
  <si>
    <t>FLAG-SCOPE: includes bank lending, not pure non-bank.</t>
  </si>
  <si>
    <t>UZ</t>
  </si>
  <si>
    <t>Uzbekistan</t>
  </si>
  <si>
    <t>乌兹别克斯坦</t>
  </si>
  <si>
    <t>Microfinance organizations loan outstanding</t>
  </si>
  <si>
    <t>Microfinance organizations — loan outstanding</t>
  </si>
  <si>
    <t>UZS</t>
  </si>
  <si>
    <t>2026-01-01</t>
  </si>
  <si>
    <t>https://cbu.uz/oz/statistics/credit/3361501/</t>
  </si>
  <si>
    <t>https://cbu.uz/en/statistics/credit/3361556/</t>
  </si>
  <si>
    <t>OK: matches CBU page (loads fine in a normal browser).</t>
  </si>
  <si>
    <t>KG</t>
  </si>
  <si>
    <t>Kyrgyzstan</t>
  </si>
  <si>
    <t>吉尔吉斯斯坦</t>
  </si>
  <si>
    <t>Non-bank mixed</t>
  </si>
  <si>
    <t>MFO loan portfolio</t>
  </si>
  <si>
    <t>KGS</t>
  </si>
  <si>
    <t>https://24.kg/ekonomika/351812_aktivyi_mikrofinansovyih_organizatsiy_vkyirgyizstane_dostigli_712_milliarda_somov/</t>
  </si>
  <si>
    <t>No citable official/semi-official absolute amount this round; amount left blank</t>
  </si>
  <si>
    <t>https://www.nbkr.kg/DOC/13022026/000000000066666.pdf</t>
  </si>
  <si>
    <t>OK: MFO portfolio. Non-bank. (Source semi-official.)</t>
  </si>
  <si>
    <t>TJ</t>
  </si>
  <si>
    <t>Tajikistan</t>
  </si>
  <si>
    <t>塔吉克斯坦</t>
  </si>
  <si>
    <t>Credit portfolio of credit financial orgs (incl. banks)</t>
  </si>
  <si>
    <t>Credit portfolio outstanding — credit financial organizations</t>
  </si>
  <si>
    <t>TJS</t>
  </si>
  <si>
    <t>https://nbt.tj/ru/news/618354/</t>
  </si>
  <si>
    <t>https://nbt.tj/files/suboti-moliyavi/1%20квартал%202026%20eng%20_%20Обзор%20финансовой%20системы.pdf</t>
  </si>
  <si>
    <t>CHANGED (cell I25): usd 2.39 -&gt; 2.84. Wrong exchange rate used (10.9; actual ~9.2). Also FLAG-SCOPE: series includes banks. Source: https://www.xe.com/currencyconverter/ (USD/TJS 9.22) ; loan figure: https://nbt.tj/en/news/618354/</t>
  </si>
  <si>
    <t>TM</t>
  </si>
  <si>
    <t>Turkmenistan</t>
  </si>
  <si>
    <t>土库曼斯坦</t>
  </si>
  <si>
    <t>Loans to citizens &amp; sole proprietors outstanding</t>
  </si>
  <si>
    <t>Loans outstanding to citizens and sole proprietors</t>
  </si>
  <si>
    <t>TMT</t>
  </si>
  <si>
    <t>2026-06-01</t>
  </si>
  <si>
    <t>https://business.com.tm/post/15909/outstanding-bank-loans-in-turkmenistan-near-1002-billion-manats</t>
  </si>
  <si>
    <t>OK (by decision): converted at the official peg 3.5 TMT/USD — confirmed by team 2026-08-11. For reference: the street rate (~19) would give ~$1.75bn instead of $9.6bn; noted only, not used.</t>
  </si>
  <si>
    <t>CO</t>
  </si>
  <si>
    <t>Colombia</t>
  </si>
  <si>
    <t>哥伦比亚</t>
  </si>
  <si>
    <t>Consumer loan portfolio (credit institutions)</t>
  </si>
  <si>
    <t>Consumer portfolio — credit establishments</t>
  </si>
  <si>
    <t>COP</t>
  </si>
  <si>
    <t>2026-04-30</t>
  </si>
  <si>
    <t>https://www.elpais.com.co/economia/estas-son-las-deudas-y-los-ahorros-que-tienen-los-colombianos-en-los-bancos-1828.html</t>
  </si>
  <si>
    <t>https://www.fogafin.gov.co/entidades-inscritas</t>
  </si>
  <si>
    <t>FLAG-SCOPE: bank-dominated lenders, not non-bank.</t>
  </si>
  <si>
    <t>AR</t>
  </si>
  <si>
    <t>Argentina</t>
  </si>
  <si>
    <t>阿根廷</t>
  </si>
  <si>
    <t>Private-sector personal loans (pesos)</t>
  </si>
  <si>
    <t>Personal loans (non-financial private sector)</t>
  </si>
  <si>
    <t>ARS</t>
  </si>
  <si>
    <t>2026-06-30</t>
  </si>
  <si>
    <t>https://www.bcra.gob.ar/archivos/Pdfs/PublicacionesEstadisticas/informes/informe-monetario-mensual-jun-26.pdf</t>
  </si>
  <si>
    <r>
      <rPr>
        <sz val="11"/>
        <color theme="1"/>
        <rFont val="Calibri"/>
        <family val="2"/>
        <charset val="1"/>
      </rPr>
      <t>Prior JSON≈8.0bn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verified≈17.6bn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</si>
  <si>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Non-financial credit providers (PNFC)</t>
  </si>
  <si>
    <t>https://www.bcra.gob.ar/archivos/Pdfs/PublicacionesEstadisticas/informes/informe-proveedores-no-financieros-credito-junio-2026.pdf</t>
  </si>
  <si>
    <t>FLAG-SCOPE: bank personal loans, not non-bank. Value verified.</t>
  </si>
  <si>
    <t>PE</t>
  </si>
  <si>
    <t>Peru</t>
  </si>
  <si>
    <t>秘鲁</t>
  </si>
  <si>
    <t>Consumer credit outstanding (deposit-taking institutions)</t>
  </si>
  <si>
    <t>Private-sector credit — consumption balances</t>
  </si>
  <si>
    <t>PEN</t>
  </si>
  <si>
    <t>https://estadisticas.bcrp.gob.pe/estadisticas/series/mensuales/resultados/PN00533MM/html</t>
  </si>
  <si>
    <r>
      <rPr>
        <sz val="11"/>
        <color theme="1"/>
        <rFont val="Calibri"/>
        <family val="2"/>
        <charset val="1"/>
      </rPr>
      <t>Prior JSON≈14.0bn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verified≈30.9bn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</si>
  <si>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https://intranet2.sbs.gob.pe/estadistica/financiera/2025/Diciembre/SF-2103-di2025.PDF</t>
  </si>
  <si>
    <t>FLAG-SCOPE: whole financial system (mostly banks), not non-bank. Value verified.</t>
  </si>
  <si>
    <t>CL</t>
  </si>
  <si>
    <t>Chile</t>
  </si>
  <si>
    <t>智利</t>
  </si>
  <si>
    <t>Bank consumer credit (effective placements, local currency)</t>
  </si>
  <si>
    <t>Bank effective placements — consumption (local currency)</t>
  </si>
  <si>
    <t>CLP</t>
  </si>
  <si>
    <t>2026-07-31</t>
  </si>
  <si>
    <t>https://si3.bcentral.cl/Siete/ES/Siete/Cuadro/CAP_DYB/MN_ESTAD_MON55/ICS_COLOCACIONES</t>
  </si>
  <si>
    <r>
      <rPr>
        <sz val="11"/>
        <color theme="1"/>
        <rFont val="Calibri"/>
        <family val="2"/>
        <charset val="1"/>
      </rPr>
      <t>Prior JSON≈28.0bn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</si>
  <si>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Emerging market &amp; developing economy|WB High income|OECD Yes</t>
  </si>
  <si>
    <t>Savings &amp; credit cooperatives (CMF)</t>
  </si>
  <si>
    <t>https://www.cmfchile.cl/institucional/mercados/consulta.php?Estado=VI&amp;entidad=BCCOO&amp;mercado=B</t>
  </si>
  <si>
    <t>FLAG-SCOPE: bank loans, not non-bank.</t>
  </si>
  <si>
    <t>EG</t>
  </si>
  <si>
    <t>Egypt</t>
  </si>
  <si>
    <t>埃及</t>
  </si>
  <si>
    <t>Non-bank consumer finance portfolios (FRA)</t>
  </si>
  <si>
    <t>Outstanding consumer finance portfolios (FRA NBFIs)</t>
  </si>
  <si>
    <t>EGP</t>
  </si>
  <si>
    <t>https://english.ahram.org.eg/UI/Front/Inner.aspx?NewsContentID=569636</t>
  </si>
  <si>
    <r>
      <rPr>
        <sz val="11"/>
        <color theme="1"/>
        <rFont val="Calibri"/>
        <family val="2"/>
        <charset val="1"/>
      </rPr>
      <t>Prior JSON≈9.0bn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</si>
  <si>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FRA-licensed consumer finance companies</t>
  </si>
  <si>
    <t>https://english.ahram.org.eg/News/569636.aspx</t>
  </si>
  <si>
    <t>CHANGED (cell X31): count 28 -&gt; 48. Regulator-cited reports all say 48 licences; nothing supports 28. Loan figure is true non-bank and verified. Source: https://english.ahram.org.eg/News/569636.aspx ; https://enterpriseam.com/egypt/2026/05/25/whats-behind-egypts-consumer-finance-crackdown/</t>
  </si>
  <si>
    <t>MA</t>
  </si>
  <si>
    <t>Morocco</t>
  </si>
  <si>
    <t>摩洛哥</t>
  </si>
  <si>
    <t>Non-bank finance companies – consumer credit</t>
  </si>
  <si>
    <t>Consumer credit — finance companies</t>
  </si>
  <si>
    <t>MAD</t>
  </si>
  <si>
    <t>https://www.bkam.ma/content/download/848253/9167875/RSF%202025.pdf</t>
  </si>
  <si>
    <t>nbfc-evidence/2026-08-10/MA_BAM_RSF_2025.pdf</t>
  </si>
  <si>
    <r>
      <rPr>
        <sz val="11"/>
        <color theme="1"/>
        <rFont val="Calibri"/>
        <family val="2"/>
        <charset val="1"/>
      </rPr>
      <t>Prior JSON≈12.0bn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verified≈10.1bn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</si>
  <si>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https://www.bkam.ma/ar/content/download/847887/9165413/Rapport%20DSB%202025.pdf</t>
  </si>
  <si>
    <t>OK: non-bank finance companies. (Site blocks automated checks; value corroborated elsewhere.)</t>
  </si>
  <si>
    <t>DZ</t>
  </si>
  <si>
    <t>Algeria</t>
  </si>
  <si>
    <t>阿尔及利亚</t>
  </si>
  <si>
    <t>PENDING_NO_CITABLE_SOURCE</t>
  </si>
  <si>
    <t>Licensed financial institutions (non-bank)</t>
  </si>
  <si>
    <t>2026-01-04</t>
  </si>
  <si>
    <t>https://www.joradp.dz/FTP/jo-francais/2026/F2026009.pdf</t>
  </si>
  <si>
    <t>PENDING: no usable source, no figures. Excluded from totals.</t>
  </si>
  <si>
    <t>n/a (pending)</t>
  </si>
  <si>
    <t>TN</t>
  </si>
  <si>
    <t>Tunisia</t>
  </si>
  <si>
    <t>突尼斯</t>
  </si>
  <si>
    <t>Leasing companies – leasing operations outstanding</t>
  </si>
  <si>
    <t>Leasing companies — operations outstanding</t>
  </si>
  <si>
    <t>TND</t>
  </si>
  <si>
    <t>https://www.bct.gov.tn/bct/siteprod/tableau_statistique.jsp?la=AN&amp;params=PL203277</t>
  </si>
  <si>
    <t>Leasing companies</t>
  </si>
  <si>
    <t>https://www.tunisienumerique.com/wp-content/uploads/2025/11/Rapport-BCT-2024-supervision.pdf</t>
  </si>
  <si>
    <t>OK: verified. Non-bank (leasing). File is a mirror copy — better to cite BCT directly.</t>
  </si>
  <si>
    <t>LY</t>
  </si>
  <si>
    <t>Libya</t>
  </si>
  <si>
    <t>利比亚</t>
  </si>
  <si>
    <t>Personal/household loans total</t>
  </si>
  <si>
    <t>Murabaha loans to individuals</t>
  </si>
  <si>
    <t>LYD</t>
  </si>
  <si>
    <t>https://cbl.gov.ly/en/wp-content/uploads/sites/4/2026/04/Main_Financial_Data_and_Indicators_of_the_Libyan_Banks_2025.pdf</t>
  </si>
  <si>
    <t>CHANGED (cell I35): usd 3.56 -&gt; 3.07. Old pre-devaluation rate (4.8) used; official rate is 5.57 since Apr-2025. Also FLAG-SCOPE: these are bank loans. Source: rate: https://cbl.gov.ly/en/currency-exchange-rates/ + https://libyaobserver.ly/economy/central-bank-libya-devalues-dinar-133 ; loan figure: https://cbl.gov.ly/en/wp-content/uploads/sites/4/2026/04/Main_Financial_Data_and_Indicators_of_the_Libyan_Banks_2025.pdf</t>
  </si>
  <si>
    <t>SD</t>
  </si>
  <si>
    <t>Sudan</t>
  </si>
  <si>
    <t>苏丹</t>
  </si>
  <si>
    <t>Low income</t>
  </si>
  <si>
    <t>LIC</t>
  </si>
  <si>
    <t>Emerging market &amp; developing economy|WB Low income|OECD No</t>
  </si>
  <si>
    <t>Licensed microfinance institutions</t>
  </si>
  <si>
    <t>2023</t>
  </si>
  <si>
    <t>https://sudanhorizon.com/microfinance-in-sudan-after-the-war-from-the-traditional-model-to-flexible-digital-islamic-development-finance-part-1-of-4/</t>
  </si>
  <si>
    <t>PENDING: no usable source. Excluded from totals.</t>
  </si>
  <si>
    <t>SA</t>
  </si>
  <si>
    <t>Saudi Arabia</t>
  </si>
  <si>
    <t>沙特</t>
  </si>
  <si>
    <t>Non-bank finance companies total credit (retail + corporate etc.)</t>
  </si>
  <si>
    <t>Finance companies total credit offered</t>
  </si>
  <si>
    <t>SAR</t>
  </si>
  <si>
    <t>https://sama.gov.sa/en-US/Publications/EconomicReports/DevelopmentReports/Key_Economic_Developments_Q3_2025-EN.pdf</t>
  </si>
  <si>
    <t>nbfc-evidence/2026-08-10/SA_SAMA_Key_Economic_Developments_Q3_2025.pdf</t>
  </si>
  <si>
    <r>
      <rPr>
        <sz val="11"/>
        <color theme="1"/>
        <rFont val="Calibri"/>
        <family val="2"/>
        <charset val="1"/>
      </rPr>
      <t>Prior JSON≈55.0bn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verified≈27.4bn;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prior secondary placeholder deprecated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</si>
  <si>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Emerging market &amp; developing economy|WB High income|OECD No</t>
  </si>
  <si>
    <t>SAMA-licensed finance companies</t>
  </si>
  <si>
    <t>2026-07-28</t>
  </si>
  <si>
    <t>https://www.arabnews.pk/node/2653476/business-economy</t>
  </si>
  <si>
    <t>OK: matches SAMA report. True non-bank (finance companies).</t>
  </si>
  <si>
    <t>AE</t>
  </si>
  <si>
    <t>United Arab Emirates</t>
  </si>
  <si>
    <t>阿联酋</t>
  </si>
  <si>
    <t>Personal loans total (banking system)</t>
  </si>
  <si>
    <t>Personal Loans to Residents (banks)</t>
  </si>
  <si>
    <t>AED</t>
  </si>
  <si>
    <t>https://www.centralbank.ae/media/2cyhdr5b/uae-monetary-banking-financial-markets-dev-report-e-q4-2025.pdf</t>
  </si>
  <si>
    <t>nbfc-evidence/2026-08-10/AE_CBUAE_Q4_2025_Monetary.pdf</t>
  </si>
  <si>
    <r>
      <rPr>
        <sz val="11"/>
        <color theme="1"/>
        <rFont val="Calibri"/>
        <family val="2"/>
        <charset val="1"/>
      </rPr>
      <t>Prior JSON≈45.0bn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verified≈154.6bn;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prior secondary placeholder deprecated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</si>
  <si>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CBUAE-licensed finance companies</t>
  </si>
  <si>
    <t>https://centralbank.ae/en/licensing</t>
  </si>
  <si>
    <t>FLAG-SCOPE: bank personal loans, not non-bank.</t>
  </si>
  <si>
    <t>BH</t>
  </si>
  <si>
    <t>Bahrain</t>
  </si>
  <si>
    <t>巴林</t>
  </si>
  <si>
    <t>Personal loans (banks)</t>
  </si>
  <si>
    <t>Personal loans excl. property-mortgage-secured (net)</t>
  </si>
  <si>
    <t>https://www.cbb.gov.bh/wp-content/uploads/2025/11/Financial-Stability-Report-Sep-2025.pdf</t>
  </si>
  <si>
    <r>
      <rPr>
        <sz val="11"/>
        <color theme="1"/>
        <rFont val="Calibri"/>
        <family val="2"/>
        <charset val="1"/>
      </rPr>
      <t>Prior JSON≈4.0bn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verified≈16.2bn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</si>
  <si>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CBB financing companies</t>
  </si>
  <si>
    <t>2024-04</t>
  </si>
  <si>
    <t>https://www.cbb.gov.bh/fact-sheet/</t>
  </si>
  <si>
    <t>CHANGED (cells G39=AE39-AF39, I39; earlier Z39): mortgage deducted per senior decision. Gross 6,103.5M − property-mortgage-secured 3,093.9M (exact CBB FSR) = net 3,009.6M BD ($7.98bn). Earlier change kept: count date corrected to 2024-04 (count itself dated Dec-2022). Scope: bank lending, accepted by decision. Source: https://www.cbb.gov.bh/wp-content/uploads/2025/11/Financial-Stability-Report-Sep-2025.pdf</t>
  </si>
  <si>
    <t>QA</t>
  </si>
  <si>
    <t>Qatar</t>
  </si>
  <si>
    <t>卡塔尔</t>
  </si>
  <si>
    <t>QAR</t>
  </si>
  <si>
    <t>2025-07-31</t>
  </si>
  <si>
    <t>https://www.alamssar.com/432086</t>
  </si>
  <si>
    <t>QCB-registered Islamic finance companies</t>
  </si>
  <si>
    <t>2024</t>
  </si>
  <si>
    <t>https://oxfordbusinessgroup.com/reports/qatar/2024-report/islamic-financial-services/market-making-initiatives-government-led-diversification-programmes-and-technological-innovation-pave-the-way-for-growth-in-the-coming-years-overview/</t>
  </si>
  <si>
    <t>FLAG-SCOPE + SOURCE: bank loans, and the source is press, not QCB. Housing check 2026-08-11: QCB tracks real estate separately, so this series already excludes housing. Note the 114.7bn is below total consumption credit (~180bn) — likely a sub-line; identify which when QCB tables are pulled manually.</t>
  </si>
  <si>
    <t>KW</t>
  </si>
  <si>
    <t>Kuwait</t>
  </si>
  <si>
    <t>科威特</t>
  </si>
  <si>
    <t>Personal consumer facilities (banks)</t>
  </si>
  <si>
    <t>Personal Facilities — Consumer Loans</t>
  </si>
  <si>
    <t>KD</t>
  </si>
  <si>
    <t>2026-01</t>
  </si>
  <si>
    <t>https://www.cbk.gov.kw/en/statistics-and-publication/dynamic-statistical-releases/monthly/2026/01/1301</t>
  </si>
  <si>
    <r>
      <rPr>
        <sz val="11"/>
        <color theme="1"/>
        <rFont val="Calibri"/>
        <family val="2"/>
        <charset val="1"/>
      </rPr>
      <t>Prior JSON≈15.0bn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</si>
  <si>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CBK-registered finance companies</t>
  </si>
  <si>
    <t>2025-04-30</t>
  </si>
  <si>
    <t>https://www.cbk.gov.kw/en/images/chartapr2025-168235_v10_tcm10-168235.pdf</t>
  </si>
  <si>
    <t>FLAG-SCOPE: bank consumer loans, not non-bank. Value verified.</t>
  </si>
  <si>
    <t>OM</t>
  </si>
  <si>
    <t>阿曼</t>
  </si>
  <si>
    <t>Bank personal loans</t>
  </si>
  <si>
    <t>Personal loans — banking sector</t>
  </si>
  <si>
    <t>USD</t>
  </si>
  <si>
    <t>https://www.agbi.com/banking-finance/2025/12/personal-loans-lift-oman-bank-lending-to-90bn/</t>
  </si>
  <si>
    <t>Finance &amp; leasing companies</t>
  </si>
  <si>
    <t>https://ominvest.com/assets/uploads/2025/11/Ominvest-Investor-Presentation-03.09.2025.pdf</t>
  </si>
  <si>
    <t>FLAG-SCOPE + SOURCE: bank loans, and the source is press, not CBO. Housing check 2026-08-11: CBO's personal-loans category INCLUDES residential housing loans and no official ex-housing split is published — mortgage share unknown; treat this row as housing-inclusive when comparing.</t>
  </si>
  <si>
    <t>JO</t>
  </si>
  <si>
    <t>Jordan</t>
  </si>
  <si>
    <t>约旦</t>
  </si>
  <si>
    <t>Licensed microfinance institutions loan portfolio</t>
  </si>
  <si>
    <t>Outstanding loan portfolio — microfinance institutions</t>
  </si>
  <si>
    <t>JOD</t>
  </si>
  <si>
    <t>https://microfinancegateway.org/ar/bhthtqryr/2026/04/mlkhs-tqryr-shbkt-tnmyt-llrb-alrab-mn-am-2025-hwl-ada-mwssat-altmwyl-alasghr</t>
  </si>
  <si>
    <t>Specialized finance companies</t>
  </si>
  <si>
    <t>https://www.cbj.gov.jo/AR/List/%D8%B4%D8%B1%D9%83%D8%A7%D8%AA_%D8%A7%D9%84%D8%AA%D9%85%D9%88%D9%8A%D9%84_%D8%A7%D9%84%D9%85%D8%AA%D8%AE%D8%B5%D8%B5</t>
  </si>
  <si>
    <t>OK: microfinance portfolio. Non-bank.</t>
  </si>
  <si>
    <t>LB</t>
  </si>
  <si>
    <t>Lebanon</t>
  </si>
  <si>
    <t>黎巴嫩</t>
  </si>
  <si>
    <t>Financial institutions (BDL list)</t>
  </si>
  <si>
    <t>2026-01-29</t>
  </si>
  <si>
    <t>https://www.bdl.gov.lb/institutions.php</t>
  </si>
  <si>
    <t>IQ</t>
  </si>
  <si>
    <t>Iraq</t>
  </si>
  <si>
    <t>伊拉克</t>
  </si>
  <si>
    <t>SME finance companies</t>
  </si>
  <si>
    <t>https://cbi.iq/page/25</t>
  </si>
  <si>
    <t>IL</t>
  </si>
  <si>
    <t>Israel</t>
  </si>
  <si>
    <t>以色列</t>
  </si>
  <si>
    <t>Non-bank (credit card cos.) household non-housing debt</t>
  </si>
  <si>
    <t>Household nonhousing debt — credit card companies</t>
  </si>
  <si>
    <t>ILS</t>
  </si>
  <si>
    <t>https://www.boi.org.il/media/ewcmwflk/debt-developments-third-quarter-2025.pdf</t>
  </si>
  <si>
    <t>nbfc-evidence/2026-08-10/IL_BOI_Debt_Q3_2025.pdf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</si>
  <si>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</si>
  <si>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CMISA credit-service license holders</t>
  </si>
  <si>
    <t>https://www.gov.il/BlobFolder/news/press_0083/he/Commisioner%20Report%20Design%20B_chapter7_ver10_digital.pdf</t>
  </si>
  <si>
    <t>OK: credit-card companies (non-bank). Verified.</t>
  </si>
  <si>
    <t>PS</t>
  </si>
  <si>
    <t>Palestine</t>
  </si>
  <si>
    <t>巴勒斯坦</t>
  </si>
  <si>
    <t>Household credit excl. real-estate/mortgage (net, PMA)</t>
  </si>
  <si>
    <t>https://www.theglobaleconomy.com/Palestine/consumer_credit/</t>
  </si>
  <si>
    <t>Specialized lending institutions</t>
  </si>
  <si>
    <t>https://journals.eikipub.com/index.php/JEIME/article/download/642/371</t>
  </si>
  <si>
    <t>CHANGED (cells G47=AE47-AF47, I47): mortgage deducted per senior decision. Gross 4.19bn − mortgage credit 1.08bn = net 3.11bn USD (PMA, Dec-2025; the old 4.4bn was the Dec-2024 total). Scope: bank lending via aggregator mirroring PMA — re-cite PMA directly. Source: https://www.theglobaleconomy.com/Palestine/consumer_credit/ ; https://www.theglobaleconomy.com/Palestine/mortgage_credit/</t>
  </si>
  <si>
    <t>TR</t>
  </si>
  <si>
    <t>Türkiye</t>
  </si>
  <si>
    <t>土耳其</t>
  </si>
  <si>
    <t>Bank personal finance loans</t>
  </si>
  <si>
    <t>Consumer Loans — Personal Finance</t>
  </si>
  <si>
    <t>TRY</t>
  </si>
  <si>
    <t>2026-04-29</t>
  </si>
  <si>
    <t>https://www.bddk.gov.tr/bultenhaftalik/en</t>
  </si>
  <si>
    <r>
      <rPr>
        <sz val="11"/>
        <color theme="1"/>
        <rFont val="Calibri"/>
        <family val="2"/>
        <charset val="1"/>
      </rPr>
      <t>Prior JSON≈40.0bn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verified≈60.2bn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</si>
  <si>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https://www.bddk.gov.tr/KurumHakkinda/EkGetir/5?ekId=428</t>
  </si>
  <si>
    <t>CHANGED (cell I48): usd 60.18 -&gt; 53.26. Wrong exchange rate used (40; actual ~45.2). Also FLAG-SCOPE: these are bank loans. Source: https://www.exchange-rates.org/exchange-rate-history/try-usd-2026 GOOD NEWS on scope: the 2,407bn matches BRSA's personal-loans-ONLY series (housing-inclusive total was ~3,188bn at that date), so this row already EXCLUDES housing — no further change needed.</t>
  </si>
  <si>
    <t>YE</t>
  </si>
  <si>
    <t>Yemen</t>
  </si>
  <si>
    <t>也门</t>
  </si>
  <si>
    <t>Bank credit to the private sector</t>
  </si>
  <si>
    <t>YER</t>
  </si>
  <si>
    <t>https://english.cby-ye.com/files/68ef3fd727694.pdf</t>
  </si>
  <si>
    <t>Microfinance banks</t>
  </si>
  <si>
    <t>https://cby-ye.com/files/687900f73aea7.pdf</t>
  </si>
  <si>
    <t>CHANGED (cell I49): usd 8.38 -&gt; 0.95. Converted at the dead pre-war rate (250); the real rate is 2,212.7 — published in this row's own source. Was ~9x too high. Also FLAG-SCOPE: includes company loans, not just personal. Source: https://english.cby-ye.com/files/68ef3fd727694.pdf (CBY-Aden monthly report: rate 2,212.70 AND the YER 2,094.5bn figure)</t>
  </si>
  <si>
    <t>IR</t>
  </si>
  <si>
    <t>Iran</t>
  </si>
  <si>
    <t>伊朗</t>
  </si>
  <si>
    <t>TZ</t>
  </si>
  <si>
    <t>Tanzania</t>
  </si>
  <si>
    <t>坦桑尼亚</t>
  </si>
  <si>
    <t>Non-bank Tier-2 microfinance service providers outstanding</t>
  </si>
  <si>
    <t>Outstanding loans – Tier 2 MSPs</t>
  </si>
  <si>
    <t>TZS</t>
  </si>
  <si>
    <t>https://bot.go.tz/Publications/Other/Banking%20Supervision%20Annual%20Reports/en/2026070216351588.pdf</t>
  </si>
  <si>
    <t>nbfc-evidence/2026-08-10/TZ_BoT_Banking_Supervision_2025.pdf</t>
  </si>
  <si>
    <t>Tier-2 non-deposit-taking microfinance service providers</t>
  </si>
  <si>
    <t>OK: matches BOT (Tanzania) source. Non-bank.</t>
  </si>
  <si>
    <t>UG</t>
  </si>
  <si>
    <t>Uganda</t>
  </si>
  <si>
    <t>乌干达</t>
  </si>
  <si>
    <t>MFI outstanding portfolio (association sample)</t>
  </si>
  <si>
    <t>Outstanding portfolio – MFIs (AMFIU sample)</t>
  </si>
  <si>
    <t>UGX</t>
  </si>
  <si>
    <t>https://amfiu.org.ug/wp-content/uploads/2025/08/PMT-Quarterly-Performance-report-Q1-2005.pdf</t>
  </si>
  <si>
    <t>Money lenders (Tier 4)</t>
  </si>
  <si>
    <t>https://umra.go.ug/wp-content/uploads/2024/10/Sacco-MicroFinance-GuideBook-FINAL-LIGHT-VERSION-1.pdf</t>
  </si>
  <si>
    <t>OK: but it is a sample of MFIs, not the full sector.</t>
  </si>
  <si>
    <t>RW</t>
  </si>
  <si>
    <t>Rwanda</t>
  </si>
  <si>
    <t>卢旺达</t>
  </si>
  <si>
    <t>Microfinance sector outstanding loans</t>
  </si>
  <si>
    <t>Outstanding loans – Microfinance sector</t>
  </si>
  <si>
    <t>RWF</t>
  </si>
  <si>
    <t>https://www.bnr.rw/documents/MPFSS_Report_March_2025.pdf</t>
  </si>
  <si>
    <t>Lending-related non-deposit-taking FSPs</t>
  </si>
  <si>
    <t>OK: matches BNR source. Non-bank.</t>
  </si>
  <si>
    <t>ET</t>
  </si>
  <si>
    <t>Ethiopia</t>
  </si>
  <si>
    <t>埃塞俄比亚</t>
  </si>
  <si>
    <t>Microfinance institutions gross loans</t>
  </si>
  <si>
    <t>Gross loans – Microfinance Institutions</t>
  </si>
  <si>
    <t>ETB</t>
  </si>
  <si>
    <t>https://www.wahidbusinessnews.com/media/resources/FInancial-Stability-Report_MARCH_2026_.pdf</t>
  </si>
  <si>
    <t>Microfinance institutions</t>
  </si>
  <si>
    <t>OK: value right, but the file is a mirror copy — cite NBE directly.</t>
  </si>
  <si>
    <t>CI</t>
  </si>
  <si>
    <t>Côte d'Ivoire</t>
  </si>
  <si>
    <t>科特迪瓦</t>
  </si>
  <si>
    <t>Non-bank SFD/MFI credit outstanding (BCEAO sample)</t>
  </si>
  <si>
    <t>SFD/MFI credit outstanding (BCEAO sample)</t>
  </si>
  <si>
    <t>XOF</t>
  </si>
  <si>
    <t>https://downloads.bceao.int/sites/default/files/2026-02/Indicateurs%20au%2030%20septembre%202025.pdf</t>
  </si>
  <si>
    <t>nbfc-evidence/2026-08-10/BCEAO_SFD_20250930.pdf</t>
  </si>
  <si>
    <t>Decentralized finance / MFIs (SFD)</t>
  </si>
  <si>
    <t>OK: matches BCEAO data. Non-bank.</t>
  </si>
  <si>
    <t>SN</t>
  </si>
  <si>
    <t>Senegal</t>
  </si>
  <si>
    <t>塞内加尔</t>
  </si>
  <si>
    <t>CM</t>
  </si>
  <si>
    <t>Cameroon</t>
  </si>
  <si>
    <t>喀麦隆</t>
  </si>
  <si>
    <t>EMF (microfinance) gross loans to customers</t>
  </si>
  <si>
    <t>Gross loans to EMF clients</t>
  </si>
  <si>
    <t>XAF</t>
  </si>
  <si>
    <t>https://www.beac.int/wp-content/uploads/2016/10/Rapport-annuel-de-la-COBAC-2024-PDF-14.8-Mo_compressed-1.pdf</t>
  </si>
  <si>
    <t>http://www.cameroon-tribune.cm/article.html/75338/en.html/microfinance-385-etablissements</t>
  </si>
  <si>
    <t>OK: matches COBAC data. Non-bank.</t>
  </si>
  <si>
    <t>AO</t>
  </si>
  <si>
    <t>Angola</t>
  </si>
  <si>
    <t>安哥拉</t>
  </si>
  <si>
    <t>Microcredit companies – microcredit</t>
  </si>
  <si>
    <t>Microcredit — microcredit companies</t>
  </si>
  <si>
    <t>AOA</t>
  </si>
  <si>
    <t>https://pt.scribd.com/document/995625276/Sector-Financeiro-Nao-Bancario-Visao-Desafios-e-Perspectivas-Analdete-Garcia-Directora-Do-DSN-Do-BNA</t>
  </si>
  <si>
    <t>Credit companies (non-bank)</t>
  </si>
  <si>
    <t>2025-Q1</t>
  </si>
  <si>
    <t>https://expansao.co.ao/empresas/detalhe/activo-das-ifnbs-cresce-609-no-i-trimestre-para-1912-mil-milhoes-kz-66996.html</t>
  </si>
  <si>
    <t>FLAG-SOURCE: the 'official' file is a Scribd re-upload — cite BNA directly. Value looks plausible.</t>
  </si>
  <si>
    <t>MZ</t>
  </si>
  <si>
    <t>Mozambique</t>
  </si>
  <si>
    <t>莫桑比克</t>
  </si>
  <si>
    <t>Credit to individuals (banking system)</t>
  </si>
  <si>
    <t>Credit to individuals</t>
  </si>
  <si>
    <t>MZN</t>
  </si>
  <si>
    <t>https://observador.pt/2025/03/12/stock-do-credito-a-economia-mocambicana-sobe-35-em-2024-para-mais-de-4-100-milhoes-de-euros/</t>
  </si>
  <si>
    <t>Microcredit operators</t>
  </si>
  <si>
    <t>2025</t>
  </si>
  <si>
    <t>https://www.bancomoc.mz/media/h2sh1frd/relat%C3%B3rio-anual-2025.pdf</t>
  </si>
  <si>
    <t>FLAG-SCOPE: bank loans to individuals, not non-bank.</t>
  </si>
  <si>
    <t>ZM</t>
  </si>
  <si>
    <t>Zambia</t>
  </si>
  <si>
    <t>赞比亚</t>
  </si>
  <si>
    <t>Non-bank personal/consumer</t>
  </si>
  <si>
    <t>Outstanding loans at deposit-taking MFIs</t>
  </si>
  <si>
    <t>ZMW</t>
  </si>
  <si>
    <t>2023-12-31</t>
  </si>
  <si>
    <t>https://fred.stlouisfed.org/series/ZMBFCSODMFXDC</t>
  </si>
  <si>
    <t>Consumer/enterprise non-deposit MFIs</t>
  </si>
  <si>
    <t>https://www.boz.zm/sites/default/files/2026-01/Bank_of_Zambia_2024_Annual_Report.pdf</t>
  </si>
  <si>
    <t>OK: deposit-taking MFIs only; data is from 2023 (old).</t>
  </si>
  <si>
    <t>ZW</t>
  </si>
  <si>
    <t>Zimbabwe</t>
  </si>
  <si>
    <t>津巴布韦</t>
  </si>
  <si>
    <t>Microfinance industry outstanding loans</t>
  </si>
  <si>
    <t>Total loans – Microfinance industry</t>
  </si>
  <si>
    <t>ZiG</t>
  </si>
  <si>
    <t>https://www.rbz.co.zw/documents/bank_sup/MFIs_Quarterly_Reports/2025/Quarterly_Microfinance_Industry_Report_as_at_31_December_2025_Final.pdf</t>
  </si>
  <si>
    <t>Credit-only MFIs</t>
  </si>
  <si>
    <t>https://www.rbz.co.zw/documents/bank_sup/BANKING_SECTOR_QUARTERLY_INDUSTRY_REPORT/2024/BSD_Annual_Report_2024.pdf</t>
  </si>
  <si>
    <t>OK: ZiG 7.19bn confirmed inside the cited RBZ report (earlier doubt withdrawn).</t>
  </si>
  <si>
    <t>BW</t>
  </si>
  <si>
    <t>博茨瓦纳</t>
  </si>
  <si>
    <t>Micro-lenders loan book</t>
  </si>
  <si>
    <t>Micro-lender loans to households (BoB Household Indebtedness Survey)</t>
  </si>
  <si>
    <t>BWP</t>
  </si>
  <si>
    <t>https://www.bankofbotswana.bw/sites/default/files/publications/Financial%20Stability%20Report%20October%202025-.pdf</t>
  </si>
  <si>
    <t>Non-bank lenders (NBFIRA: micro-lenders, finance/leasing companies, pawnshops)</t>
  </si>
  <si>
    <t>2024-03-31</t>
  </si>
  <si>
    <t>https://www.nbfira.org.bw/wp-content/uploads/2025/01/nbfira-annual-report-2024.pdf</t>
  </si>
  <si>
    <t>CHANGED (cells G62, I62; earlier X62): loan 8.761bn -&gt; 8.5bn BWP ($0.61bn), as-of -&gt; Dec-2024. The old figure matched NBFIRA's total-ASSETS number (8.731bn, whole non-bank sector), not any loan book; replaced with the Bank of Botswana Household Indebtedness Survey figure: P8.5bn micro-lender loans to households at Dec-2024 (Dec-2023 was P6.4bn). Newer date, correct metric, official source. Count change kept: 282 -&gt; 407 non-bank lenders (NBFIRA AR2024 Table 2.1). Sources: https://www.bankofbotswana.bw/sites/default/files/publications/Financial%20Stability%20Report%20October%202025-.pdf (BoB Household Indebtedness Survey: P8.5bn micro-lender loans, Dec-2024); corroborated: https://dailynews.gov.bw/news-detail/88676</t>
  </si>
  <si>
    <t>NA</t>
  </si>
  <si>
    <t>Namibia</t>
  </si>
  <si>
    <t>纳米比亚</t>
  </si>
  <si>
    <t>Microlending loan book</t>
  </si>
  <si>
    <t>Microlending total loan book</t>
  </si>
  <si>
    <t>NAD</t>
  </si>
  <si>
    <t>https://thebrief.com.na/2026/04/entrepo-letshego-and-old-mutual-control-80-5-of-namibias-n6-9bn-term-lending-market/</t>
  </si>
  <si>
    <t>Micro lenders</t>
  </si>
  <si>
    <t>2025-Q4</t>
  </si>
  <si>
    <t>FLAG-SOURCE: source is an aggregator site — cite NAMFISA.</t>
  </si>
  <si>
    <t>MU</t>
  </si>
  <si>
    <t>Mauritius</t>
  </si>
  <si>
    <t>毛里求斯</t>
  </si>
  <si>
    <t>NBDTI loans to households</t>
  </si>
  <si>
    <t>NBDTIs loans to Households</t>
  </si>
  <si>
    <t>MUR</t>
  </si>
  <si>
    <t>2025-11-30</t>
  </si>
  <si>
    <t>https://www.bom.mu/sites/default/files/msb_-_december_2025_issue.pdf</t>
  </si>
  <si>
    <t>Non-bank deposit-taking institutions</t>
  </si>
  <si>
    <t>https://www.bom.mu/sites/default/files/pdf/Research_and_Publications/Monthly_Statistical_Bulletin/msb_june_2025.pdf</t>
  </si>
  <si>
    <t>OK: the exact table exists at BOM and the size fits; the precise number still needs one manual look.</t>
  </si>
  <si>
    <t>MG</t>
  </si>
  <si>
    <t>Madagascar</t>
  </si>
  <si>
    <t>马达加斯加</t>
  </si>
  <si>
    <t>Outstanding loans — deposit-taking MFIs (IMF FAS)</t>
  </si>
  <si>
    <t>MGA</t>
  </si>
  <si>
    <t>https://fred.stlouisfed.org/series/MDGFCSODMFXDC</t>
  </si>
  <si>
    <t>2023-12</t>
  </si>
  <si>
    <t>https://2424.mg/secteur-financier-24-millions-de-clients-pour-les-institutions-de-microfinance/</t>
  </si>
  <si>
    <t>CHANGED (cell G65, I65): loan 663bn -&gt; 769.5bn MGA. Old source was a dead blog; replaced with the official IMF figure (2023, deposit-taking MFIs). Source: https://fred.stlouisfed.org/series/MDGFCSODMFXDC</t>
  </si>
  <si>
    <t>BJ</t>
  </si>
  <si>
    <t>Benin</t>
  </si>
  <si>
    <t>贝宁</t>
  </si>
  <si>
    <t>BF</t>
  </si>
  <si>
    <t>Burkina Faso</t>
  </si>
  <si>
    <t>布基纳法索</t>
  </si>
  <si>
    <t>ML</t>
  </si>
  <si>
    <t>Mali</t>
  </si>
  <si>
    <t>马里</t>
  </si>
  <si>
    <t>CD</t>
  </si>
  <si>
    <t>DR Congo</t>
  </si>
  <si>
    <t>刚果（金）</t>
  </si>
  <si>
    <t>Microfinance sector credits</t>
  </si>
  <si>
    <t>https://www.radiookapi.net/2024/07/23/actualite/societe/rdc-laccroissement-des-activites-de-la-microfinance-evalue-130-millions</t>
  </si>
  <si>
    <t>https://deskeco.com/2026/08/05/microfinance-la-bcc-reaffirme-son-engagement-en-faveur-de-linclusion-financiere</t>
  </si>
  <si>
    <t>OK: 2023 data (old); quoted in USD; semi-official.</t>
  </si>
  <si>
    <t>GA</t>
  </si>
  <si>
    <t>Gabon</t>
  </si>
  <si>
    <t>加蓬</t>
  </si>
  <si>
    <t>US</t>
  </si>
  <si>
    <t>United States</t>
  </si>
  <si>
    <t>美国</t>
  </si>
  <si>
    <t>Finance company consumer receivables (incl. auto/leases)</t>
  </si>
  <si>
    <t>Finance companies — consumer loans &amp; leases owned and managed (G.20 SA)</t>
  </si>
  <si>
    <t>2026-05</t>
  </si>
  <si>
    <t>https://www.federalreserve.gov/releases/g20/current/</t>
  </si>
  <si>
    <r>
      <rPr>
        <sz val="11"/>
        <color theme="1"/>
        <rFont val="Calibri"/>
        <family val="2"/>
        <charset val="1"/>
      </rPr>
      <t>Prior JSON≈1969.0bn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verified≈924.0bn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</si>
  <si>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North America</t>
  </si>
  <si>
    <t>Finance companies / other nonbank lenders (census mailing universe)</t>
  </si>
  <si>
    <t>2010</t>
  </si>
  <si>
    <t>https://www.federalreserve.gov/pubs/feds/2013/201313/201313pap.pdf</t>
  </si>
  <si>
    <t>CHANGED (cell X71): count 13,000 -&gt; 5,346. 13,000 was the Fed's mailing list, not a company count; 5,346 is the Fed's only published estimate of active firms (2010). Loan figure verified (Fed G.20; still preliminary). True non-bank. Source: https://www.federalreserve.gov/pubs/feds/2013/201313/201313pap.pdf (Table 7)</t>
  </si>
  <si>
    <t>CA</t>
  </si>
  <si>
    <t>Canada</t>
  </si>
  <si>
    <t>加拿大</t>
  </si>
  <si>
    <t>Household non-mortgage loans (all lenders)</t>
  </si>
  <si>
    <t>Household non-mortgage loans (raw)</t>
  </si>
  <si>
    <t>CAD</t>
  </si>
  <si>
    <t>https://www150.statcan.gc.ca/t1/tbl1/en/tv.action?pid=3610063901</t>
  </si>
  <si>
    <t>nbfc-evidence/2026-08-10/CA_StatCan_36100639.zip</t>
  </si>
  <si>
    <r>
      <rPr>
        <sz val="11"/>
        <color theme="1"/>
        <rFont val="Calibri"/>
        <family val="2"/>
        <charset val="1"/>
      </rPr>
      <t>Prior JSON≈120.0bn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verified≈604.2bn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</si>
  <si>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OSFI federally regulated loan companies</t>
  </si>
  <si>
    <t>https://open.canada.ca/data/dataset/b27ec3ef-7338-4e76-a6fd-128339a92df5/resource/945045fa-2de0-47d4-aad2-144d69467824/download/who_we_regulate_fi_eng.csv</t>
  </si>
  <si>
    <t>CHANGED (cell X72): count 12 -&gt; 10. Current OSFI register lists 10 loan companies (2 closing down). Loan value verified exactly. Also FLAG-SCOPE: the loan is ALL lenders' non-mortgage loans, and the counted companies are mostly banks' mortgage arms — different groups. Source: https://open.canada.ca/data/dataset/b27ec3ef-7338-4e76-a6fd-128339a92df5/resource/945045fa-2de0-47d4-aad2-144d69467824/download/who_we_regulate_fi_eng.csv</t>
  </si>
  <si>
    <t>GB</t>
  </si>
  <si>
    <t>United Kingdom</t>
  </si>
  <si>
    <t>英国</t>
  </si>
  <si>
    <t>Consumer credit outstanding (SA, excl. SLC)</t>
  </si>
  <si>
    <t>GBP</t>
  </si>
  <si>
    <t>https://www.bankofengland.co.uk/-/media/boe/files/statistics/money-and-credit/2026/tables-a-and-k-june-2026.xlsx</t>
  </si>
  <si>
    <t>nbfc-evidence/2026-08-10/GB_BoE_Money_Credit_Tables_June_2026.xlsx</t>
  </si>
  <si>
    <r>
      <rPr>
        <sz val="11"/>
        <color theme="1"/>
        <rFont val="Calibri"/>
        <family val="2"/>
        <charset val="1"/>
      </rPr>
      <t>Prior JSON≈180.0bn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verified≈328.6bn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</si>
  <si>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Firms with FCA consumer credit lending permission</t>
  </si>
  <si>
    <t>https://www.fca.org.uk/publication/policy/ps24-3.pdf</t>
  </si>
  <si>
    <t>FLAG-SCOPE: all-lender series (mostly banks), not non-bank. Value cross-checks with official data.</t>
  </si>
  <si>
    <t>DE</t>
  </si>
  <si>
    <t>Germany</t>
  </si>
  <si>
    <t>德国</t>
  </si>
  <si>
    <t>MFI credit for consumption to households (stocks)</t>
  </si>
  <si>
    <t>EUR</t>
  </si>
  <si>
    <t>https://data.ecb.europa.eu/data/datasets/BSI/BSI.M.DE.N.A.A21.A.1.U2.2250.Z01.E</t>
  </si>
  <si>
    <r>
      <rPr>
        <sz val="11"/>
        <color theme="1"/>
        <rFont val="Calibri"/>
        <family val="2"/>
        <charset val="1"/>
      </rPr>
      <t>Prior JSON≈95.0bn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verified≈222.8bn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</si>
  <si>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leasing &amp; factoring institutions</t>
  </si>
  <si>
    <t>https://www.bafin.de/DE/die-bafin/publikationen-daten/jahresbericht/jahresbericht-2025/unternehmensaufsicht/kreditinstitute/kreditinstitute_node.html</t>
  </si>
  <si>
    <t>FLAG-SCOPE: 'MFI' means banks here — this is bank lending, not non-bank.</t>
  </si>
  <si>
    <t>FR</t>
  </si>
  <si>
    <t>France</t>
  </si>
  <si>
    <t>法国</t>
  </si>
  <si>
    <t>https://data.ecb.europa.eu/data/datasets/BSI/BSI.M.FR.N.A.A21.A.1.U2.2250.Z01.E</t>
  </si>
  <si>
    <r>
      <rPr>
        <sz val="11"/>
        <color theme="1"/>
        <rFont val="Calibri"/>
        <family val="2"/>
        <charset val="1"/>
      </rPr>
      <t>Prior JSON≈85.0bn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verified≈224.9bn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</si>
  <si>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ACPR-licensed finance companies</t>
  </si>
  <si>
    <t>https://acpr.banque-france.fr/system/files/2026-05/20260521_ACPR_Rapport_Annuel_2025.pdf</t>
  </si>
  <si>
    <t>FLAG-SCOPE: 'MFI' means banks here — bank lending, not non-bank.</t>
  </si>
  <si>
    <t>NL</t>
  </si>
  <si>
    <t>Netherlands</t>
  </si>
  <si>
    <t>荷兰</t>
  </si>
  <si>
    <t>https://data.ecb.europa.eu/data/datasets/BSI/BSI.M.NL.N.A.A21.A.1.U2.2250.Z01.E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</si>
  <si>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verified≈7.4bn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</si>
  <si>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AFM credit-provider licence holders</t>
  </si>
  <si>
    <t>https://www.afm.nl/nl-nl/sector/registers/vergunningenregisters/financiele-dienstverleners?Filter1=2</t>
  </si>
  <si>
    <t>ES</t>
  </si>
  <si>
    <t>Spain</t>
  </si>
  <si>
    <t>西班牙</t>
  </si>
  <si>
    <t>https://data.ecb.europa.eu/data/datasets/BSI/BSI.M.ES.N.A.A21.A.1.U2.2250.Z01.E</t>
  </si>
  <si>
    <r>
      <rPr>
        <sz val="11"/>
        <color theme="1"/>
        <rFont val="Calibri"/>
        <family val="2"/>
        <charset val="1"/>
      </rPr>
      <t>Prior JSON≈55.0bn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verified≈129.5bn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</si>
  <si>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Credit financial establishments (EFC)</t>
  </si>
  <si>
    <t>https://www.bde.es/f/webbe/Secciones/Publicaciones/PublicacionesAnuales/MemoriaSupervisionBancaria/25/MemoriaSupervision2025_Cap4.pdf</t>
  </si>
  <si>
    <t>PT</t>
  </si>
  <si>
    <t>Portugal</t>
  </si>
  <si>
    <t>葡萄牙</t>
  </si>
  <si>
    <t>https://data.ecb.europa.eu/data/datasets/BSI/BSI.M.PT.N.A.A21.A.1.U2.2250.Z01.E</t>
  </si>
  <si>
    <r>
      <rPr>
        <sz val="11"/>
        <color theme="1"/>
        <rFont val="Calibri"/>
        <family val="2"/>
        <charset val="1"/>
      </rPr>
      <t>Prior JSON≈18.0bn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verified≈24.5bn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</si>
  <si>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Credit finance companies (SFC)</t>
  </si>
  <si>
    <t>https://www.bportugal.pt/sites/default/files/documents/2026-01/BO_1_2026.pdf</t>
  </si>
  <si>
    <t>IT</t>
  </si>
  <si>
    <t>Italy</t>
  </si>
  <si>
    <t>意大利</t>
  </si>
  <si>
    <t>https://data.ecb.europa.eu/data/datasets/BSI/BSI.M.IT.N.A.A21.A.1.U2.2250.Z01.E</t>
  </si>
  <si>
    <r>
      <rPr>
        <sz val="11"/>
        <color theme="1"/>
        <rFont val="Calibri"/>
        <family val="2"/>
        <charset val="1"/>
      </rPr>
      <t>Prior JSON≈60.0bn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verified≈147.1bn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</si>
  <si>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Financial intermediaries (Art. 106 TUB)</t>
  </si>
  <si>
    <t>https://www.bancaditalia.it/pubblicazioni/relazione-annuale/2025/app_2025_totale.pdf</t>
  </si>
  <si>
    <t>FLAG-SCOPE: 'MFI' means banks here — bank lending, not non-bank. (The EUR135bn is right for this series; the ~92bn sometimes quoted is a narrower one.)</t>
  </si>
  <si>
    <t>SE</t>
  </si>
  <si>
    <t>Sweden</t>
  </si>
  <si>
    <t>瑞典</t>
  </si>
  <si>
    <t>https://data.ecb.europa.eu/data/datasets/BSI/BSI.M.SE.N.A.A21.A.1.U6.2250.Z01.E</t>
  </si>
  <si>
    <r>
      <rPr>
        <sz val="11"/>
        <color theme="1"/>
        <rFont val="Calibri"/>
        <family val="2"/>
        <charset val="1"/>
      </rPr>
      <t>Prior JSON≈40.0bn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verified≈31.5bn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</si>
  <si>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Consumer credit institutions (main activity)</t>
  </si>
  <si>
    <t>https://www.fi.se/sv/vara-register/foretagsregistret/?huvudkategori=Konsumentkreditinstitut</t>
  </si>
  <si>
    <t>FLAG-SCOPE: 'MFI' means banks here — bank lending, not non-bank. (Source reports Sweden in EUR.)</t>
  </si>
  <si>
    <t>PL</t>
  </si>
  <si>
    <t>Poland</t>
  </si>
  <si>
    <t>波兰</t>
  </si>
  <si>
    <t>https://data.ecb.europa.eu/data/datasets/BSI/BSI.M.PL.N.A.A21.A.1.U6.2250.Z01.E</t>
  </si>
  <si>
    <r>
      <rPr>
        <sz val="11"/>
        <color theme="1"/>
        <rFont val="Calibri"/>
        <family val="2"/>
        <charset val="1"/>
      </rPr>
      <t>Prior JSON≈45.0bn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verified≈62.1bn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</si>
  <si>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Non-bank lending institutions</t>
  </si>
  <si>
    <t>https://www.knf.gov.pl/knf/en/komponenty/img/Report_on_the_activities_of_the_UKNF_and_the_KNF_board_in_2024_96969.pdf</t>
  </si>
  <si>
    <t>FLAG-SCOPE: 'MFI' means banks here — bank lending, not non-bank. (Source reports Poland in EUR.)</t>
  </si>
  <si>
    <t>IE</t>
  </si>
  <si>
    <t>Ireland</t>
  </si>
  <si>
    <t>爱尔兰</t>
  </si>
  <si>
    <t>https://data.ecb.europa.eu/data/datasets/BSI/BSI.M.IE.N.A.A21.A.1.U2.2250.Z01.E</t>
  </si>
  <si>
    <r>
      <rPr>
        <sz val="11"/>
        <color theme="1"/>
        <rFont val="Calibri"/>
        <family val="2"/>
        <charset val="1"/>
      </rPr>
      <t>Prior JSON≈22.0bn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verified≈15.8bn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</si>
  <si>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Retail credit firms</t>
  </si>
  <si>
    <t>https://registers.centralbank.ie/DownloadsPage.aspx</t>
  </si>
  <si>
    <t>HK</t>
  </si>
  <si>
    <t>Hong Kong</t>
  </si>
  <si>
    <t>中国香港</t>
  </si>
  <si>
    <t>Loans for other private purposes (authorized institutions)</t>
  </si>
  <si>
    <t>Loans for other private purposes (AIs)</t>
  </si>
  <si>
    <t>HKD</t>
  </si>
  <si>
    <t>https://www.hkma.gov.hk/media/eng/doc/market-data-and-statistics/monthly-statistical-bulletin/T030501.xls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</si>
  <si>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verified≈96.0bn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</si>
  <si>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Advanced economy|WB High income|OECD No</t>
  </si>
  <si>
    <t>Licensed moneylenders</t>
  </si>
  <si>
    <t>https://www.cr.gov.hk/en/services/money-lenders/statistics/Number.htm</t>
  </si>
  <si>
    <t>FLAG-SCOPE: these are banks' loans, and the count (1,962) is moneylender licences — different group. Value verified exactly.</t>
  </si>
  <si>
    <t>SG</t>
  </si>
  <si>
    <t>Singapore</t>
  </si>
  <si>
    <t>新加坡</t>
  </si>
  <si>
    <t>Household personal loans</t>
  </si>
  <si>
    <t>SGD</t>
  </si>
  <si>
    <t>https://www.businesstimes.com.sg/singapore/singapore-households-net-wealth-also-taking-more-debt-such-home-loans</t>
  </si>
  <si>
    <t>2026-03-01</t>
  </si>
  <si>
    <t>https://rom.mlaw.gov.sg/files/ML%20Lists/List_of_Licensed_Moneylenders_as_at_1_March_2026.pdf</t>
  </si>
  <si>
    <t>FLAG-SCOPE: all-lender household loans, not non-bank; count (153 moneylenders) is a different group. Value confirmed.</t>
  </si>
  <si>
    <t>RU</t>
  </si>
  <si>
    <t>Russia</t>
  </si>
  <si>
    <t>俄罗斯</t>
  </si>
  <si>
    <t>Bank household consumer loans outstanding</t>
  </si>
  <si>
    <t>Household consumer loans (bank balance)</t>
  </si>
  <si>
    <t>RUB</t>
  </si>
  <si>
    <t>https://cbr.ru/eng/statistics/macro_itm/households/pkshouse2022/</t>
  </si>
  <si>
    <r>
      <rPr>
        <sz val="11"/>
        <color theme="1"/>
        <rFont val="Calibri"/>
        <family val="2"/>
        <charset val="1"/>
      </rPr>
      <t>Prior JSON≈22.0bn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verified≈149.9bn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</si>
  <si>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https://www.cbr.ru/Collection/Collection/File/62095/review_mfi_26Q1.pdf</t>
  </si>
  <si>
    <t>CHANGED (cell I85): usd 149.87 -&gt; 174.0. Wrong exchange rate used (90; actual 77.5). Also FLAG-SCOPE: bank loans — the non-bank piece is only ~RUB 161bn. Source: https://www.exchange-rates.org/exchange-rate-history/rub-usd-2026</t>
  </si>
  <si>
    <t>inst_status</t>
  </si>
  <si>
    <t>count</t>
  </si>
  <si>
    <t>count_status</t>
  </si>
  <si>
    <t>source_org</t>
  </si>
  <si>
    <t>reporting_sample</t>
  </si>
  <si>
    <t>RBI</t>
  </si>
  <si>
    <t>非全registered清单；RBI另有2026-06-30动态名录Excel，本次未逐行计数</t>
  </si>
  <si>
    <t>reporting</t>
  </si>
  <si>
    <t>PBOC</t>
  </si>
  <si>
    <t>官网正文已核</t>
  </si>
  <si>
    <t>licensed</t>
  </si>
  <si>
    <t>OJK</t>
  </si>
  <si>
    <r>
      <rPr>
        <sz val="11"/>
        <color theme="1"/>
        <rFont val="Calibri"/>
        <family val="2"/>
        <charset val="1"/>
      </rPr>
      <t>licensed</t>
    </r>
    <r>
      <rPr>
        <sz val="11"/>
        <color theme="1"/>
        <rFont val="Noto Sans CJK SC"/>
        <family val="2"/>
      </rPr>
      <t>目录</t>
    </r>
  </si>
  <si>
    <t>licensed_operating</t>
  </si>
  <si>
    <t>BOT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</si>
  <si>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；纯</t>
    </r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个贷家数</t>
    </r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未公布</t>
    </r>
  </si>
  <si>
    <t>BNM</t>
  </si>
  <si>
    <t>窄口径；licensedmoneylenders未见official合计</t>
  </si>
  <si>
    <t>registered</t>
  </si>
  <si>
    <t>AMLC (SEC supervised entities)</t>
  </si>
  <si>
    <t>名录计数；以借贷/融资类为主</t>
  </si>
  <si>
    <t>SBV</t>
  </si>
  <si>
    <t>FSA</t>
  </si>
  <si>
    <t>Official website verified</t>
  </si>
  <si>
    <r>
      <rPr>
        <sz val="11"/>
        <color theme="1"/>
        <rFont val="Calibri"/>
        <family val="2"/>
        <charset val="1"/>
      </rPr>
      <t>FSS</t>
    </r>
    <r>
      <rPr>
        <sz val="11"/>
        <color theme="1"/>
        <rFont val="Noto Sans CJK SC"/>
        <family val="2"/>
      </rPr>
      <t>（媒体转引）</t>
    </r>
  </si>
  <si>
    <r>
      <rPr>
        <sz val="11"/>
        <color theme="1"/>
        <rFont val="Calibri"/>
        <family val="2"/>
        <charset val="1"/>
      </rPr>
      <t>mediacited via</t>
    </r>
    <r>
      <rPr>
        <sz val="11"/>
        <color theme="1"/>
        <rFont val="Noto Sans CJK SC"/>
        <family val="2"/>
      </rPr>
      <t>；个别报道</t>
    </r>
    <r>
      <rPr>
        <sz val="11"/>
        <color theme="1"/>
        <rFont val="Calibri"/>
        <family val="2"/>
        <charset val="1"/>
      </rPr>
      <t>185</t>
    </r>
    <r>
      <rPr>
        <sz val="11"/>
        <color theme="1"/>
        <rFont val="Noto Sans CJK SC"/>
        <family val="2"/>
      </rPr>
      <t>，重大决策请对</t>
    </r>
    <r>
      <rPr>
        <sz val="11"/>
        <color theme="1"/>
        <rFont val="Calibri"/>
        <family val="2"/>
        <charset val="1"/>
      </rPr>
      <t>FSS PDF</t>
    </r>
  </si>
  <si>
    <t>FSC Banking Bureau</t>
  </si>
  <si>
    <t>非consumermicrofinance/microloan宇宙；台湾无印度式NBFC</t>
  </si>
  <si>
    <t>Bangladesh Bank / MRA</t>
  </si>
  <si>
    <r>
      <rPr>
        <sz val="11"/>
        <color theme="1"/>
        <rFont val="Calibri"/>
        <family val="2"/>
        <charset val="1"/>
      </rPr>
      <t>SECP</t>
    </r>
    <r>
      <rPr>
        <sz val="11"/>
        <color theme="1"/>
        <rFont val="Noto Sans CJK SC"/>
        <family val="2"/>
      </rPr>
      <t>（行业转引）</t>
    </r>
  </si>
  <si>
    <r>
      <rPr>
        <sz val="11"/>
        <color theme="1"/>
        <rFont val="Calibri"/>
        <family val="2"/>
        <charset val="1"/>
      </rPr>
      <t>SECP</t>
    </r>
    <r>
      <rPr>
        <sz val="11"/>
        <color theme="1"/>
        <rFont val="Noto Sans CJK SC"/>
        <family val="2"/>
      </rPr>
      <t>站点有摘要入口；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原文本次未逐字打开</t>
    </r>
  </si>
  <si>
    <t>CBSL</t>
  </si>
  <si>
    <t>registered_operating</t>
  </si>
  <si>
    <r>
      <rPr>
        <sz val="11"/>
        <color theme="1"/>
        <rFont val="Calibri"/>
        <family val="2"/>
        <charset val="1"/>
      </rPr>
      <t>CONDUSEF Buró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Credenz</t>
    </r>
    <r>
      <rPr>
        <sz val="11"/>
        <color theme="1"/>
        <rFont val="Noto Sans CJK SC"/>
        <family val="2"/>
      </rPr>
      <t>报告转引）</t>
    </r>
  </si>
  <si>
    <r>
      <rPr>
        <sz val="11"/>
        <color theme="1"/>
        <rFont val="Calibri"/>
        <family val="2"/>
        <charset val="1"/>
      </rPr>
      <t>cited viaCONDUSEF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SOFOM ERofficial</t>
    </r>
    <r>
      <rPr>
        <sz val="11"/>
        <color theme="1"/>
        <rFont val="Noto Sans CJK SC"/>
        <family val="2"/>
      </rPr>
      <t>绝对数未核到</t>
    </r>
  </si>
  <si>
    <t>BCB</t>
  </si>
  <si>
    <t>访问日计数</t>
  </si>
  <si>
    <t>CBK</t>
  </si>
  <si>
    <t>PDF downloaded and verified</t>
  </si>
  <si>
    <t>NCR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</si>
  <si>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与零售商，</t>
    </r>
    <r>
      <rPr>
        <sz val="11"/>
        <color theme="1"/>
        <rFont val="Calibri"/>
        <family val="2"/>
        <charset val="1"/>
      </rPr>
      <t>broader than NBFC perimeter</t>
    </r>
  </si>
  <si>
    <t>https://ranked.ng/data/mfb-license-watch</t>
  </si>
  <si>
    <r>
      <rPr>
        <sz val="11"/>
        <color theme="1"/>
        <rFont val="Calibri"/>
        <family val="2"/>
        <charset val="1"/>
      </rPr>
      <t>CBN register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Ranked.ng</t>
    </r>
    <r>
      <rPr>
        <sz val="11"/>
        <color theme="1"/>
        <rFont val="Noto Sans CJK SC"/>
        <family val="2"/>
      </rPr>
      <t>计数）</t>
    </r>
  </si>
  <si>
    <t>含部分已撤销滞后；Finance Housesofficial合计仍缺；2026-08-11 R2: 829→785 (CBN revoked 46 licences eff. 01-Jul-2026)</t>
  </si>
  <si>
    <t>Bank of Ghana</t>
  </si>
  <si>
    <t>FRC Mongolia</t>
  </si>
  <si>
    <t>ARDFM</t>
  </si>
  <si>
    <t>另有信贷合作社209、当铺473</t>
  </si>
  <si>
    <t>Central Bank of Uzbekistan</t>
  </si>
  <si>
    <t>NBKR</t>
  </si>
  <si>
    <t>NBT</t>
  </si>
  <si>
    <t>PENDING_NO_CITABLE_COUNT</t>
  </si>
  <si>
    <t>Still no citable absolute count after local-language search</t>
  </si>
  <si>
    <t>Fogafín / SFC</t>
  </si>
  <si>
    <t>BCRA</t>
  </si>
  <si>
    <t>SBS Peru</t>
  </si>
  <si>
    <t>CMF Chile</t>
  </si>
  <si>
    <t>智利无大型独立金融公司类别；此为最接近受监管non-bank</t>
  </si>
  <si>
    <t>https://practiceguides.chambers.com/practice-guides/fintech-2026/egypt/trends-and-developments</t>
  </si>
  <si>
    <r>
      <rPr>
        <sz val="11"/>
        <color theme="1"/>
        <rFont val="Calibri"/>
        <family val="2"/>
        <charset val="1"/>
      </rPr>
      <t>Chambers Fintech 2026</t>
    </r>
    <r>
      <rPr>
        <sz val="11"/>
        <color theme="1"/>
        <rFont val="Noto Sans CJK SC"/>
        <family val="2"/>
      </rPr>
      <t>（转引</t>
    </r>
    <r>
      <rPr>
        <sz val="11"/>
        <color theme="1"/>
        <rFont val="Calibri"/>
        <family val="2"/>
        <charset val="1"/>
      </rPr>
      <t>FRA</t>
    </r>
    <r>
      <rPr>
        <sz val="11"/>
        <color theme="1"/>
        <rFont val="Noto Sans CJK SC"/>
        <family val="2"/>
      </rPr>
      <t>）</t>
    </r>
  </si>
  <si>
    <t>律所指南转述；FRA登记簿未成功计数；2026-08-11 R2: 28→48 active FRA consumer-finance licences end-2025 (3 independent sources)</t>
  </si>
  <si>
    <t>Bank Al-Maghrib</t>
  </si>
  <si>
    <t>Banque d'Algérie / Journal Officiel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</si>
  <si>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法令</t>
    </r>
    <r>
      <rPr>
        <sz val="11"/>
        <color theme="1"/>
        <rFont val="Calibri"/>
        <family val="2"/>
        <charset val="1"/>
      </rPr>
      <t>PDF verified</t>
    </r>
  </si>
  <si>
    <t>BCT</t>
  </si>
  <si>
    <r>
      <rPr>
        <sz val="11"/>
        <color theme="1"/>
        <rFont val="Calibri"/>
        <family val="2"/>
        <charset val="1"/>
      </rPr>
      <t>CBOS MFU</t>
    </r>
    <r>
      <rPr>
        <sz val="11"/>
        <color theme="1"/>
        <rFont val="Noto Sans CJK SC"/>
        <family val="2"/>
      </rPr>
      <t>（媒体转引）</t>
    </r>
  </si>
  <si>
    <t>战时实际报送仅约7家；somewhat dated</t>
  </si>
  <si>
    <r>
      <rPr>
        <sz val="11"/>
        <color theme="1"/>
        <rFont val="Calibri"/>
        <family val="2"/>
        <charset val="1"/>
      </rPr>
      <t>Arab News</t>
    </r>
    <r>
      <rPr>
        <sz val="11"/>
        <color theme="1"/>
        <rFont val="Noto Sans CJK SC"/>
        <family val="2"/>
      </rPr>
      <t>（转引</t>
    </r>
    <r>
      <rPr>
        <sz val="11"/>
        <color theme="1"/>
        <rFont val="Calibri"/>
        <family val="2"/>
        <charset val="1"/>
      </rPr>
      <t>SAMA</t>
    </r>
    <r>
      <rPr>
        <sz val="11"/>
        <color theme="1"/>
        <rFont val="Noto Sans CJK SC"/>
        <family val="2"/>
      </rPr>
      <t>）</t>
    </r>
  </si>
  <si>
    <t>新闻转述SAMA；官网名单页本次抓取失败</t>
  </si>
  <si>
    <t>CBUAE</t>
  </si>
  <si>
    <t>未含自贸区DFSA/FSRA</t>
  </si>
  <si>
    <t>CBB</t>
  </si>
  <si>
    <t>；2026-08-11: as_of corrected to fact-sheet date Apr-2024 (count itself dated Dec-2022)</t>
  </si>
  <si>
    <t>Oxford Business Group</t>
  </si>
  <si>
    <t>咨询机构报告；QCB官网未见公布合计绝对数</t>
  </si>
  <si>
    <t>市场材料（对齐CBO监管FLC）</t>
  </si>
  <si>
    <r>
      <rPr>
        <sz val="11"/>
        <color theme="1"/>
        <rFont val="Calibri"/>
        <family val="2"/>
        <charset val="1"/>
      </rPr>
      <t>CBO</t>
    </r>
    <r>
      <rPr>
        <sz val="11"/>
        <color theme="1"/>
        <rFont val="Noto Sans CJK SC"/>
        <family val="2"/>
      </rPr>
      <t>官网仍有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 CJK SC"/>
        <family val="2"/>
      </rPr>
      <t>年“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家”旧数；建议待新表</t>
    </r>
  </si>
  <si>
    <t>CBJ</t>
  </si>
  <si>
    <t>阿拉伯语官网页名单计数</t>
  </si>
  <si>
    <t>registered_index</t>
  </si>
  <si>
    <t>Banque du Liban</t>
  </si>
  <si>
    <t>序号提示≥48，未必等于活跃家数</t>
  </si>
  <si>
    <t>Central Bank of Iraq</t>
  </si>
  <si>
    <t>阿拉伯语官网名录计数；另有电子支付服务商约20家、担保公司1家，非同类</t>
  </si>
  <si>
    <t>CMISA</t>
  </si>
  <si>
    <r>
      <rPr>
        <sz val="11"/>
        <color theme="1"/>
        <rFont val="Calibri"/>
        <family val="2"/>
        <charset val="1"/>
      </rPr>
      <t>PMA</t>
    </r>
    <r>
      <rPr>
        <sz val="11"/>
        <color theme="1"/>
        <rFont val="Noto Sans CJK SC"/>
        <family val="2"/>
      </rPr>
      <t>（学术文献引用）</t>
    </r>
  </si>
  <si>
    <t>BDDK</t>
  </si>
  <si>
    <r>
      <rPr>
        <sz val="11"/>
        <color theme="1"/>
        <rFont val="Calibri"/>
        <family val="2"/>
        <charset val="1"/>
      </rPr>
      <t>2025–26</t>
    </r>
    <r>
      <rPr>
        <sz val="11"/>
        <color theme="1"/>
        <rFont val="Noto Sans CJK SC"/>
        <family val="2"/>
      </rPr>
      <t>有新批，更新合计未核到</t>
    </r>
  </si>
  <si>
    <t>Central Bank of Yemen</t>
  </si>
  <si>
    <t>属银行牌照下的microfinance/microloan银行，非non-bankMFI</t>
  </si>
  <si>
    <t>Bank of Tanzania</t>
  </si>
  <si>
    <r>
      <rPr>
        <sz val="11"/>
        <color theme="1"/>
        <rFont val="Calibri"/>
        <family val="2"/>
        <charset val="1"/>
      </rPr>
      <t>PDF downloaded and verified</t>
    </r>
    <r>
      <rPr>
        <sz val="11"/>
        <color theme="1"/>
        <rFont val="Noto Sans CJK SC"/>
        <family val="2"/>
      </rPr>
      <t>；另有</t>
    </r>
    <r>
      <rPr>
        <sz val="11"/>
        <color theme="1"/>
        <rFont val="Calibri"/>
        <family val="2"/>
        <charset val="1"/>
      </rPr>
      <t>FI</t>
    </r>
    <r>
      <rPr>
        <sz val="11"/>
        <color theme="1"/>
        <rFont val="Noto Sans CJK SC"/>
        <family val="2"/>
      </rPr>
      <t>年报</t>
    </r>
    <r>
      <rPr>
        <sz val="11"/>
        <color theme="1"/>
        <rFont val="Calibri"/>
        <family val="2"/>
        <charset val="1"/>
      </rPr>
      <t>2,979/</t>
    </r>
    <r>
      <rPr>
        <sz val="11"/>
        <color theme="1"/>
        <rFont val="Noto Sans CJK SC"/>
        <family val="2"/>
      </rPr>
      <t>德勤</t>
    </r>
    <r>
      <rPr>
        <sz val="11"/>
        <color theme="1"/>
        <rFont val="Calibri"/>
        <family val="2"/>
        <charset val="1"/>
      </rPr>
      <t>2,047</t>
    </r>
    <r>
      <rPr>
        <sz val="11"/>
        <color theme="1"/>
        <rFont val="Noto Sans CJK SC"/>
        <family val="2"/>
      </rPr>
      <t>不同时点</t>
    </r>
  </si>
  <si>
    <t>UMRA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</si>
  <si>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2024/25</t>
    </r>
    <r>
      <rPr>
        <sz val="11"/>
        <color theme="1"/>
        <rFont val="Noto Sans CJK SC"/>
        <family val="2"/>
      </rPr>
      <t>续牌活跃数未见更新</t>
    </r>
  </si>
  <si>
    <t>BNR</t>
  </si>
  <si>
    <t>更接近纯放贷；微金融含SACCO共434</t>
  </si>
  <si>
    <t>National Bank of Ethiopia</t>
  </si>
  <si>
    <r>
      <rPr>
        <sz val="11"/>
        <color theme="1"/>
        <rFont val="Calibri"/>
        <family val="2"/>
        <charset val="1"/>
      </rPr>
      <t>NBE FSR</t>
    </r>
    <r>
      <rPr>
        <sz val="11"/>
        <color theme="1"/>
        <rFont val="Noto Sans CJK SC"/>
        <family val="2"/>
      </rPr>
      <t>正文（</t>
    </r>
    <r>
      <rPr>
        <sz val="11"/>
        <color theme="1"/>
        <rFont val="Calibri"/>
        <family val="2"/>
        <charset val="1"/>
      </rPr>
      <t>media</t>
    </r>
    <r>
      <rPr>
        <sz val="11"/>
        <color theme="1"/>
        <rFont val="Noto Sans CJK SC"/>
        <family val="2"/>
      </rPr>
      <t>转载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）</t>
    </r>
  </si>
  <si>
    <t>BCEAO</t>
  </si>
  <si>
    <t>PDF verified</t>
  </si>
  <si>
    <r>
      <rPr>
        <sz val="11"/>
        <color theme="1"/>
        <rFont val="Calibri"/>
        <family val="2"/>
        <charset val="1"/>
      </rPr>
      <t>Ministère des Finances Cameroun</t>
    </r>
    <r>
      <rPr>
        <sz val="11"/>
        <color theme="1"/>
        <rFont val="Noto Sans CJK SC"/>
        <family val="2"/>
      </rPr>
      <t>（官媒）</t>
    </r>
  </si>
  <si>
    <r>
      <rPr>
        <sz val="11"/>
        <color theme="1"/>
        <rFont val="Calibri"/>
        <family val="2"/>
        <charset val="1"/>
      </rPr>
      <t>COBAC 2024</t>
    </r>
    <r>
      <rPr>
        <sz val="11"/>
        <color theme="1"/>
        <rFont val="Noto Sans CJK SC"/>
        <family val="2"/>
      </rPr>
      <t>年报为</t>
    </r>
    <r>
      <rPr>
        <sz val="11"/>
        <color theme="1"/>
        <rFont val="Calibri"/>
        <family val="2"/>
        <charset val="1"/>
      </rPr>
      <t>384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 CJK SC"/>
        <family val="2"/>
      </rPr>
      <t>末）</t>
    </r>
  </si>
  <si>
    <r>
      <rPr>
        <sz val="11"/>
        <color theme="1"/>
        <rFont val="Calibri"/>
        <family val="2"/>
        <charset val="1"/>
      </rPr>
      <t>BNA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Expansão</t>
    </r>
    <r>
      <rPr>
        <sz val="11"/>
        <color theme="1"/>
        <rFont val="Noto Sans CJK SC"/>
        <family val="2"/>
      </rPr>
      <t>转述）</t>
    </r>
  </si>
  <si>
    <t>葡语media转述BNA</t>
  </si>
  <si>
    <t>Banco de Moçambique</t>
  </si>
  <si>
    <t>葡语official年报</t>
  </si>
  <si>
    <t>Bank of Zambia</t>
  </si>
  <si>
    <t>RBZ</t>
  </si>
  <si>
    <t>Non-bank lenders (NBFIRA)</t>
  </si>
  <si>
    <t>NBFIRA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</si>
  <si>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放贷业合计</t>
    </r>
    <r>
      <rPr>
        <sz val="11"/>
        <color theme="1"/>
        <rFont val="Calibri"/>
        <family val="2"/>
        <charset val="1"/>
      </rPr>
      <t>407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2026-08-11: 282→407 per NBFIRA AR2024 Table 2.1 (team decision); covers all non-bank lenders</t>
    </r>
  </si>
  <si>
    <t>licensed_active</t>
  </si>
  <si>
    <r>
      <rPr>
        <sz val="11"/>
        <color theme="1"/>
        <rFont val="Calibri"/>
        <family val="2"/>
        <charset val="1"/>
      </rPr>
      <t>NAMFISA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The Brief</t>
    </r>
    <r>
      <rPr>
        <sz val="11"/>
        <color theme="1"/>
        <rFont val="Noto Sans CJK SC"/>
        <family val="2"/>
      </rPr>
      <t>转述）</t>
    </r>
  </si>
  <si>
    <t>建议回链NAMFISA公报核对</t>
  </si>
  <si>
    <t>Bank of Mauritius</t>
  </si>
  <si>
    <t>偏吸储/租赁</t>
  </si>
  <si>
    <r>
      <rPr>
        <sz val="11"/>
        <color theme="1"/>
        <rFont val="Calibri"/>
        <family val="2"/>
        <charset val="1"/>
      </rPr>
      <t>CSBF</t>
    </r>
    <r>
      <rPr>
        <sz val="11"/>
        <color theme="1"/>
        <rFont val="Noto Sans CJK SC"/>
        <family val="2"/>
      </rPr>
      <t>（媒体转引）</t>
    </r>
  </si>
  <si>
    <t>somewhat dated</t>
  </si>
  <si>
    <t>法语official；PDF verified</t>
  </si>
  <si>
    <r>
      <rPr>
        <sz val="11"/>
        <color theme="1"/>
        <rFont val="Calibri"/>
        <family val="2"/>
        <charset val="1"/>
      </rPr>
      <t>BCC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DeskEco</t>
    </r>
    <r>
      <rPr>
        <sz val="11"/>
        <color theme="1"/>
        <rFont val="Noto Sans CJK SC"/>
        <family val="2"/>
      </rPr>
      <t>转述</t>
    </r>
    <r>
      <rPr>
        <sz val="11"/>
        <color theme="1"/>
        <rFont val="Calibri"/>
        <family val="2"/>
        <charset val="1"/>
      </rPr>
      <t>SECOMIF</t>
    </r>
    <r>
      <rPr>
        <sz val="11"/>
        <color theme="1"/>
        <rFont val="Noto Sans CJK SC"/>
        <family val="2"/>
      </rPr>
      <t>）</t>
    </r>
  </si>
  <si>
    <t>COBAC</t>
  </si>
  <si>
    <t>survey_universe</t>
  </si>
  <si>
    <t>https://www.federalreserve.gov/newsevents/pressreleases/other20250606a.htm</t>
  </si>
  <si>
    <t>Federal Reserve Board</t>
  </si>
  <si>
    <t>非全国licensed总数；最接近official全国口径。另有合格finance companies≈2,100（2021sample框）；2026-08-11 R2: 13,000 (mailing universe) → 5,346 (Fed 2010 census universe ESTIMATE, FEDS 2013-13; only published active-universe figure)</t>
  </si>
  <si>
    <t>OSFI</t>
  </si>
  <si>
    <t>仅联邦；省级payday未纳入；2026-08-11: count 12→10 per live OSFI register (2 in liquidation)</t>
  </si>
  <si>
    <t>permission_holders</t>
  </si>
  <si>
    <t>FCA</t>
  </si>
  <si>
    <r>
      <rPr>
        <sz val="11"/>
        <color theme="1"/>
        <rFont val="Calibri"/>
        <family val="2"/>
        <charset val="1"/>
      </rPr>
      <t>≥3500</t>
    </r>
    <r>
      <rPr>
        <sz val="11"/>
        <color theme="1"/>
        <rFont val="Noto Sans CJK SC"/>
        <family val="2"/>
      </rPr>
      <t>；含持放贷许可的银行，非纯</t>
    </r>
    <r>
      <rPr>
        <sz val="11"/>
        <color theme="1"/>
        <rFont val="Calibri"/>
        <family val="2"/>
        <charset val="1"/>
      </rPr>
      <t>non-bank</t>
    </r>
  </si>
  <si>
    <t>BaFin</t>
  </si>
  <si>
    <t>最接近non-bank放贷口径</t>
  </si>
  <si>
    <t>ACPR</t>
  </si>
  <si>
    <t>AFM</t>
  </si>
  <si>
    <t>荷兰语登记册；includes banks/按揭等</t>
  </si>
  <si>
    <t>Banco de España</t>
  </si>
  <si>
    <t>Banco de Portugal</t>
  </si>
  <si>
    <t>Banca d'Italia</t>
  </si>
  <si>
    <t>Finansinspektionen</t>
  </si>
  <si>
    <t>过渡期后存量；2026-02新闻约为50</t>
  </si>
  <si>
    <t>KNF</t>
  </si>
  <si>
    <r>
      <rPr>
        <sz val="11"/>
        <color theme="1"/>
        <rFont val="Calibri"/>
        <family val="2"/>
        <charset val="1"/>
      </rPr>
      <t>2025/26</t>
    </r>
    <r>
      <rPr>
        <sz val="11"/>
        <color theme="1"/>
        <rFont val="Noto Sans CJK SC"/>
        <family val="2"/>
      </rPr>
      <t>更新合计未见</t>
    </r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公布</t>
    </r>
  </si>
  <si>
    <t>Central Bank of Ireland</t>
  </si>
  <si>
    <t>Companies Registry HK</t>
  </si>
  <si>
    <t>Ministry of Law — Registry of Moneylenders</t>
  </si>
  <si>
    <t>evidence: SG_MinLaw_Moneylenders_20260301.pdf</t>
  </si>
  <si>
    <t>Bank of Russia</t>
  </si>
  <si>
    <t>institution_type_en</t>
  </si>
  <si>
    <t>institution_type_zh</t>
  </si>
  <si>
    <t>source_title</t>
  </si>
  <si>
    <t>quote_or_table_ref</t>
  </si>
  <si>
    <t>recommended</t>
  </si>
  <si>
    <t>NBFC (UL+ML supervisory returns sample)</t>
  </si>
  <si>
    <r>
      <rPr>
        <sz val="11"/>
        <color theme="1"/>
        <rFont val="Calibri"/>
        <family val="2"/>
        <charset val="1"/>
      </rPr>
      <t>NBFC</t>
    </r>
    <r>
      <rPr>
        <sz val="11"/>
        <color theme="1"/>
        <rFont val="Noto Sans CJK SC"/>
        <family val="2"/>
      </rPr>
      <t>（上层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中层并表样本）</t>
    </r>
  </si>
  <si>
    <t>Trend and Progress of Banking in India 2024-25 — Table VI.3</t>
  </si>
  <si>
    <t>Table VI.3 Total Number = 431 (UL 10 + ML 421); Base Layer not included</t>
  </si>
  <si>
    <t>Y</t>
  </si>
  <si>
    <t>Microloan company</t>
  </si>
  <si>
    <t>小额贷款公司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</si>
  <si>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年三季度小额贷款公司统计数据报告</t>
    </r>
  </si>
  <si>
    <t>截至2025年9月末，全国共有小额贷款公司4863家</t>
  </si>
  <si>
    <t>Consumer finance company</t>
  </si>
  <si>
    <t>消费金融公司</t>
  </si>
  <si>
    <t>中国银行业协会（媒体转引）</t>
  </si>
  <si>
    <t>中国消费金融公司发展报告（2026）</t>
  </si>
  <si>
    <t>http://finance.ce.cn/bank12/scroll/202607/t20260731_3120181.shtml</t>
  </si>
  <si>
    <t>目前我国共有消费金融公司31家</t>
  </si>
  <si>
    <r>
      <rPr>
        <sz val="11"/>
        <color theme="1"/>
        <rFont val="Calibri"/>
        <family val="2"/>
        <charset val="1"/>
      </rPr>
      <t>association</t>
    </r>
    <r>
      <rPr>
        <sz val="11"/>
        <color theme="1"/>
        <rFont val="Noto Sans CJK SC"/>
        <family val="2"/>
      </rPr>
      <t>报告经央媒</t>
    </r>
    <r>
      <rPr>
        <sz val="11"/>
        <color theme="1"/>
        <rFont val="Calibri"/>
        <family val="2"/>
        <charset val="1"/>
      </rPr>
      <t>cited via</t>
    </r>
    <r>
      <rPr>
        <sz val="11"/>
        <color theme="1"/>
        <rFont val="Noto Sans CJK SC"/>
        <family val="2"/>
      </rPr>
      <t>；非</t>
    </r>
    <r>
      <rPr>
        <sz val="11"/>
        <color theme="1"/>
        <rFont val="Calibri"/>
        <family val="2"/>
        <charset val="1"/>
      </rPr>
      <t>NFRA</t>
    </r>
    <r>
      <rPr>
        <sz val="11"/>
        <color theme="1"/>
        <rFont val="Noto Sans CJK SC"/>
        <family val="2"/>
      </rPr>
      <t>逐家登记表原文</t>
    </r>
  </si>
  <si>
    <t>N</t>
  </si>
  <si>
    <t>Perusahaan Pembiayaan (multifinance)</t>
  </si>
  <si>
    <t>融资公司</t>
  </si>
  <si>
    <t>Direktori Lembaga Pembiayaan dan PMV Juni 2025</t>
  </si>
  <si>
    <t>145 Perusahaan Pembiayaan (+50 PMV +1 Infrastruktur)</t>
  </si>
  <si>
    <t>LPBBTI / Fintech P2P</t>
  </si>
  <si>
    <r>
      <rPr>
        <sz val="11"/>
        <color theme="1"/>
        <rFont val="Calibri"/>
        <family val="2"/>
        <charset val="1"/>
      </rPr>
      <t>P2P</t>
    </r>
    <r>
      <rPr>
        <sz val="11"/>
        <color theme="1"/>
        <rFont val="Noto Sans CJK SC"/>
        <family val="2"/>
      </rPr>
      <t>网络借贷</t>
    </r>
  </si>
  <si>
    <t>Direktori LPBBTI 31 Maret 2026</t>
  </si>
  <si>
    <t>https://ojk.go.id/id/kanal/iknb/data-dan-statistik/direktori/fintech/Pages/Direktori-LPBBTI-31-Maret-2026.aspx</t>
  </si>
  <si>
    <t>penyelenggara LPBBTI/Fintech P2PL yang berizin … 95 perusahaan</t>
  </si>
  <si>
    <t>Nano Finance providers (banks+non-banks)</t>
  </si>
  <si>
    <r>
      <rPr>
        <sz val="11"/>
        <color theme="1"/>
        <rFont val="Calibri"/>
        <family val="2"/>
        <charset val="1"/>
      </rPr>
      <t>Nano</t>
    </r>
    <r>
      <rPr>
        <sz val="11"/>
        <color theme="1"/>
        <rFont val="Noto Sans CJK SC"/>
        <family val="2"/>
      </rPr>
      <t>金融提供商（含银行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非银）</t>
    </r>
  </si>
  <si>
    <t>FI_CB_093 Nano Finance under Supervision</t>
  </si>
  <si>
    <t>Number of Nano Finance Providers = 73 (JUN 2025)</t>
  </si>
  <si>
    <t>Development Financial Institutions</t>
  </si>
  <si>
    <t>发展金融机构（DFI）</t>
  </si>
  <si>
    <t>List of Development Financial Institutions</t>
  </si>
  <si>
    <t>6 DFIs listed under DFIA 2002</t>
  </si>
  <si>
    <r>
      <rPr>
        <sz val="11"/>
        <color theme="1"/>
        <rFont val="Calibri"/>
        <family val="2"/>
        <charset val="1"/>
      </rPr>
      <t>SEC</t>
    </r>
    <r>
      <rPr>
        <sz val="11"/>
        <color theme="1"/>
        <rFont val="Noto Sans CJK SC"/>
        <family val="2"/>
      </rPr>
      <t>监管借贷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融资类主体</t>
    </r>
  </si>
  <si>
    <t>Registered SEC Supervised Entities as of 31 January 2026</t>
  </si>
  <si>
    <t>PDF numbered entities ≈2,748</t>
  </si>
  <si>
    <t>Finance company</t>
  </si>
  <si>
    <t>金融公司</t>
  </si>
  <si>
    <t>FINANCE COMPANIES (By March 30, 2025)</t>
  </si>
  <si>
    <t>Official roster lists 16 finance companies</t>
  </si>
  <si>
    <r>
      <rPr>
        <sz val="11"/>
        <color theme="1"/>
        <rFont val="Calibri"/>
        <family val="2"/>
        <charset val="1"/>
      </rPr>
      <t xml:space="preserve">Moneylender / </t>
    </r>
    <r>
      <rPr>
        <sz val="11"/>
        <color theme="1"/>
        <rFont val="Noto Sans CJK SC"/>
        <family val="2"/>
      </rPr>
      <t>貸金業者</t>
    </r>
  </si>
  <si>
    <t>贷金业者</t>
  </si>
  <si>
    <t>貸金業者数について（令和７年６月末）</t>
  </si>
  <si>
    <t>令和７年６月末時点の貸金業者数は1,475業者</t>
  </si>
  <si>
    <t>Specialized credit card company</t>
  </si>
  <si>
    <t>专营信用卡公司</t>
  </si>
  <si>
    <t>licensed_reporting</t>
  </si>
  <si>
    <t>FSS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</si>
  <si>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년 여신전문금융회사 영업실적</t>
    </r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잠정</t>
    </r>
    <r>
      <rPr>
        <sz val="11"/>
        <color theme="1"/>
        <rFont val="Calibri"/>
        <family val="2"/>
        <charset val="1"/>
      </rPr>
      <t>]</t>
    </r>
  </si>
  <si>
    <t>https://eiec.kdi.re.kr/policy/materialView.do?num=278161</t>
  </si>
  <si>
    <t>전업카드사(8개)</t>
  </si>
  <si>
    <t>非卡专业信贷金融公司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</si>
  <si>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 xml:space="preserve">년 여신전문금융회사 영업실적 — </t>
    </r>
    <r>
      <rPr>
        <sz val="11"/>
        <color theme="1"/>
        <rFont val="Calibri"/>
        <family val="2"/>
        <charset val="1"/>
      </rPr>
      <t>press</t>
    </r>
  </si>
  <si>
    <t>비카드 여전사(183개사)</t>
  </si>
  <si>
    <t>Bills finance company</t>
  </si>
  <si>
    <t>票券金融公司</t>
  </si>
  <si>
    <t>專營及兼營票券商家數統計</t>
  </si>
  <si>
    <r>
      <rPr>
        <sz val="11"/>
        <color theme="1"/>
        <rFont val="Calibri"/>
        <family val="2"/>
        <charset val="1"/>
      </rPr>
      <t>114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 xml:space="preserve">月 票券金融公司 </t>
    </r>
    <r>
      <rPr>
        <sz val="11"/>
        <color theme="1"/>
        <rFont val="Calibri"/>
        <family val="2"/>
        <charset val="1"/>
      </rPr>
      <t>= 8</t>
    </r>
  </si>
  <si>
    <t>MRA-licensed MFI</t>
  </si>
  <si>
    <r>
      <rPr>
        <sz val="11"/>
        <color theme="1"/>
        <rFont val="Calibri"/>
        <family val="2"/>
        <charset val="1"/>
      </rPr>
      <t>MRA</t>
    </r>
    <r>
      <rPr>
        <sz val="11"/>
        <color theme="1"/>
        <rFont val="Noto Sans CJK SC"/>
        <family val="2"/>
      </rPr>
      <t>持牌小额信贷机构</t>
    </r>
  </si>
  <si>
    <t>Banking: Bridging Gaps in Bangladesh</t>
  </si>
  <si>
    <t>As of December 2024, 724 licensed MFIs</t>
  </si>
  <si>
    <t>Finance companies under BB</t>
  </si>
  <si>
    <t>孟加拉银行监管金融公司</t>
  </si>
  <si>
    <t>Bangladesh Bank</t>
  </si>
  <si>
    <t>Banks &amp; FIs — Finance Companies</t>
  </si>
  <si>
    <t>https://www.bb.org.bd/en/index.php/financialactivity/bankfi</t>
  </si>
  <si>
    <t>At present, 35 FCs are operating in Bangladesh</t>
  </si>
  <si>
    <t>Lending NBFCs including Modarabas</t>
  </si>
  <si>
    <t>放贷类NBFC（含Modaraba）</t>
  </si>
  <si>
    <t>NBFC/NBFI Sector Summary — December 2025</t>
  </si>
  <si>
    <t>116 lending entities including Modarabas</t>
  </si>
  <si>
    <t>Licensed Finance Company</t>
  </si>
  <si>
    <t>持牌金融公司</t>
  </si>
  <si>
    <t>Licensed Finance Companies</t>
  </si>
  <si>
    <t>Official roster As at 10.08.2026 — 31 companies</t>
  </si>
  <si>
    <t>Licensed money lender</t>
  </si>
  <si>
    <t>持牌放债人</t>
  </si>
  <si>
    <t>Number of Licensed Money Lenders</t>
  </si>
  <si>
    <t>June 2026 = 1,962</t>
  </si>
  <si>
    <t>Licensed moneylender</t>
  </si>
  <si>
    <t>List of Valid Moneylenders as at 1 March 2026</t>
  </si>
  <si>
    <r>
      <rPr>
        <sz val="11"/>
        <color theme="1"/>
        <rFont val="Calibri"/>
        <family val="2"/>
        <charset val="1"/>
      </rPr>
      <t>S/No. 1–153; PDF</t>
    </r>
    <r>
      <rPr>
        <sz val="11"/>
        <color theme="1"/>
        <rFont val="Noto Sans CJK SC"/>
        <family val="2"/>
      </rPr>
      <t>已下载核对</t>
    </r>
  </si>
  <si>
    <t>NBFI</t>
  </si>
  <si>
    <t>非银行金融机构</t>
  </si>
  <si>
    <t>Financial Market Review 2025 Q3</t>
  </si>
  <si>
    <t>FRC licensed 577 NBFIs</t>
  </si>
  <si>
    <t>Microfinance organization (MFO)</t>
  </si>
  <si>
    <t>微金融机构</t>
  </si>
  <si>
    <t>О состоянии микрофинансовых организаций … 1 октября 2025</t>
  </si>
  <si>
    <t>215 микрофинансовыми организациями</t>
  </si>
  <si>
    <t>Microfinance organization</t>
  </si>
  <si>
    <t>Main performance indicators of MFOs</t>
  </si>
  <si>
    <t>number column = 132</t>
  </si>
  <si>
    <t>Financial Stability Report H1 2025</t>
  </si>
  <si>
    <t>Microfinance organizations … 106</t>
  </si>
  <si>
    <t>Overview of the Financial System Q1 2026</t>
  </si>
  <si>
    <t>Microfinance organizations 51</t>
  </si>
  <si>
    <r>
      <rPr>
        <sz val="11"/>
        <color theme="1"/>
        <rFont val="Calibri"/>
        <family val="2"/>
        <charset val="1"/>
      </rPr>
      <t>SAMA</t>
    </r>
    <r>
      <rPr>
        <sz val="11"/>
        <color theme="1"/>
        <rFont val="Noto Sans CJK SC"/>
        <family val="2"/>
      </rPr>
      <t>持牌金融公司</t>
    </r>
  </si>
  <si>
    <t>SAMA licensed Himma for Financing; total 78</t>
  </si>
  <si>
    <t>total number of licensed finance companies … to 78</t>
  </si>
  <si>
    <t>阿联酋央行持牌金融公司</t>
  </si>
  <si>
    <t>Licensing / CB Register (Finance Companies)</t>
  </si>
  <si>
    <t>Licence type=Finance Company rows counted ≈21</t>
  </si>
  <si>
    <r>
      <rPr>
        <sz val="11"/>
        <color theme="1"/>
        <rFont val="Calibri"/>
        <family val="2"/>
        <charset val="1"/>
      </rPr>
      <t>NCR</t>
    </r>
    <r>
      <rPr>
        <sz val="11"/>
        <color theme="1"/>
        <rFont val="Noto Sans CJK SC"/>
        <family val="2"/>
      </rPr>
      <t>注册信贷提供商</t>
    </r>
  </si>
  <si>
    <t>NCR Annual Report 2024/25</t>
  </si>
  <si>
    <t>total of 8 147 credit providers … registered with the NCR</t>
  </si>
  <si>
    <t>CBK-licensed Digital Credit Providers</t>
  </si>
  <si>
    <t>持牌数字信贷提供商(DCP)</t>
  </si>
  <si>
    <t>Press Release: Licensing of Digital Credit Providers</t>
  </si>
  <si>
    <t>brings the number of licensed DCPs to 195</t>
  </si>
  <si>
    <r>
      <rPr>
        <sz val="11"/>
        <color theme="1"/>
        <rFont val="Calibri"/>
        <family val="2"/>
        <charset val="1"/>
      </rPr>
      <t>FRA</t>
    </r>
    <r>
      <rPr>
        <sz val="11"/>
        <color theme="1"/>
        <rFont val="Noto Sans CJK SC"/>
        <family val="2"/>
      </rPr>
      <t>持牌消费金融公司</t>
    </r>
  </si>
  <si>
    <t>Fintech 2026 – Egypt Trends and Developments</t>
  </si>
  <si>
    <t>licensed consumer finance companies … to 28</t>
  </si>
  <si>
    <t>律所指南转述；FRA登记簿未成功计数；2026-08-11 R2: 28→48 per FRA-cited press</t>
  </si>
  <si>
    <t>Sociétés de financement</t>
  </si>
  <si>
    <t>Rapport annuel sur la supervision bancaire 2025</t>
  </si>
  <si>
    <t>Sociétés de financement : 30; Dont crédit à la consommation : 12</t>
  </si>
  <si>
    <t>Sociétés de crédit à la consommation</t>
  </si>
  <si>
    <t>消费信贷公司</t>
  </si>
  <si>
    <t>Rapport DSB 2025</t>
  </si>
  <si>
    <t>Dont sociétés de crédit à la consommation : 12</t>
  </si>
  <si>
    <r>
      <rPr>
        <sz val="11"/>
        <color theme="1"/>
        <rFont val="Calibri"/>
        <family val="2"/>
        <charset val="1"/>
      </rPr>
      <t>finance companies</t>
    </r>
    <r>
      <rPr>
        <sz val="11"/>
        <color theme="1"/>
        <rFont val="Noto Sans CJK SC"/>
        <family val="2"/>
      </rPr>
      <t>子集</t>
    </r>
  </si>
  <si>
    <t>Institutions de microfinance</t>
  </si>
  <si>
    <t>小额信贷机构</t>
  </si>
  <si>
    <t>Institutions de microfinance : 10</t>
  </si>
  <si>
    <t>SOFOM E.N.R. in operation</t>
  </si>
  <si>
    <r>
      <rPr>
        <sz val="11"/>
        <color theme="1"/>
        <rFont val="Calibri"/>
        <family val="2"/>
        <charset val="1"/>
      </rPr>
      <t>SOFOM ENR</t>
    </r>
    <r>
      <rPr>
        <sz val="11"/>
        <color theme="1"/>
        <rFont val="Noto Sans CJK SC"/>
        <family val="2"/>
      </rPr>
      <t>（运营中）</t>
    </r>
  </si>
  <si>
    <t>Comportamiento General de SOFOM E.N.R. Ene–Jun 2025</t>
  </si>
  <si>
    <t>2,145 SOFOM E.N.R. con estatus en operación</t>
  </si>
  <si>
    <t>Sociedade de Crédito Direto (SCD)</t>
  </si>
  <si>
    <t>直接信贷公司(SCD)</t>
  </si>
  <si>
    <t>Relação de Instituições em Funcionamento — SedesSociedades OData</t>
  </si>
  <si>
    <t>SEGMENTO eq 'Sociedade de Crédito Direto' → 136</t>
  </si>
  <si>
    <t>Sociedade de Empréstimo entre Pessoas (SEP)</t>
  </si>
  <si>
    <r>
      <rPr>
        <sz val="11"/>
        <color theme="1"/>
        <rFont val="Calibri"/>
        <family val="2"/>
        <charset val="1"/>
      </rPr>
      <t>P2P</t>
    </r>
    <r>
      <rPr>
        <sz val="11"/>
        <color theme="1"/>
        <rFont val="Noto Sans CJK SC"/>
        <family val="2"/>
      </rPr>
      <t>借贷公司</t>
    </r>
    <r>
      <rPr>
        <sz val="11"/>
        <color theme="1"/>
        <rFont val="Calibri"/>
        <family val="2"/>
        <charset val="1"/>
      </rPr>
      <t>(SEP)</t>
    </r>
  </si>
  <si>
    <t>SedesSociedades OData</t>
  </si>
  <si>
    <t>SEP → 12</t>
  </si>
  <si>
    <t>Sociedade de Crédito, Financiamento e Investimento (CFI)</t>
  </si>
  <si>
    <t>信贷融资投资公司(CFI)</t>
  </si>
  <si>
    <t>CFI → 80</t>
  </si>
  <si>
    <t>传统金融公司</t>
  </si>
  <si>
    <t>Finanzierungsleasing- und Factoringinstitute</t>
  </si>
  <si>
    <t>融资租赁与保理机构</t>
  </si>
  <si>
    <t>Jahresbericht 2025 — Institute unter deutscher Aufsicht</t>
  </si>
  <si>
    <t>Finanzierungsleasing- und Factoringinstitute 339</t>
  </si>
  <si>
    <r>
      <rPr>
        <sz val="11"/>
        <color theme="1"/>
        <rFont val="Calibri"/>
        <family val="2"/>
        <charset val="1"/>
      </rPr>
      <t>ACPR</t>
    </r>
    <r>
      <rPr>
        <sz val="11"/>
        <color theme="1"/>
        <rFont val="Noto Sans CJK SC"/>
        <family val="2"/>
      </rPr>
      <t>持牌融资公司</t>
    </r>
  </si>
  <si>
    <t>Rapport annuel 2025</t>
  </si>
  <si>
    <t>Sociétés de financement … 139 (31/12/2025)</t>
  </si>
  <si>
    <t>Finansman şirketleri</t>
  </si>
  <si>
    <t>Kurum Hakkında / Faaliyet özeti</t>
  </si>
  <si>
    <t>24'ü finansman şirketi</t>
  </si>
  <si>
    <t>Faktoring şirketleri</t>
  </si>
  <si>
    <t>保理公司</t>
  </si>
  <si>
    <t>Faaliyet özeti</t>
  </si>
  <si>
    <t>48'i faktoring şirketi</t>
  </si>
  <si>
    <t>资本市场局信贷服务持牌人</t>
  </si>
  <si>
    <t>Commissioner Report 2024 — Chapter 7</t>
  </si>
  <si>
    <r>
      <rPr>
        <sz val="11"/>
        <color theme="1"/>
        <rFont val="Calibri"/>
        <family val="2"/>
        <charset val="1"/>
      </rPr>
      <t xml:space="preserve">784 </t>
    </r>
    <r>
      <rPr>
        <sz val="11"/>
        <color theme="1"/>
        <rFont val="FreeSans"/>
        <family val="2"/>
      </rPr>
      <t>בעלי רישיונות למתן אשראי</t>
    </r>
  </si>
  <si>
    <t>CBB Financing Companies</t>
  </si>
  <si>
    <t>巴林央行融资公司</t>
  </si>
  <si>
    <t>CBB Fact Sheet – Specialised Licensees</t>
  </si>
  <si>
    <t>Financing Companies 7</t>
  </si>
  <si>
    <t>；2026-08-11: fact sheet is Apr-2024; financing-co count dated Dec-2022</t>
  </si>
  <si>
    <t>科威特央行注册金融公司</t>
  </si>
  <si>
    <t>Banking and Financial System Structure</t>
  </si>
  <si>
    <t>Finance Companies Total 2</t>
  </si>
  <si>
    <r>
      <rPr>
        <sz val="11"/>
        <color theme="1"/>
        <rFont val="Calibri"/>
        <family val="2"/>
        <charset val="1"/>
      </rPr>
      <t>OSFI</t>
    </r>
    <r>
      <rPr>
        <sz val="11"/>
        <color theme="1"/>
        <rFont val="Noto Sans CJK SC"/>
        <family val="2"/>
      </rPr>
      <t>联邦监管贷款公司</t>
    </r>
  </si>
  <si>
    <t>Who we regulate – financial institutions CSV</t>
  </si>
  <si>
    <t>FI Group Name = Loan Companies → 12</t>
  </si>
  <si>
    <t>仅联邦；省级payday未纳入；2026-08-11: 12→10 per live OSFI register</t>
  </si>
  <si>
    <t>Microfinance organizations (MFK+MKK)</t>
  </si>
  <si>
    <t>微金融组织</t>
  </si>
  <si>
    <t>Обзор ключевых показателей МФИ 2026 Q1</t>
  </si>
  <si>
    <t>МФК 27 + МКК 814 = 841</t>
  </si>
  <si>
    <t>Establecimientos financieros de crédito (EFC)</t>
  </si>
  <si>
    <t>信贷金融机构(EFC)</t>
  </si>
  <si>
    <t>Memoria de Supervisión 2025 Cap.4</t>
  </si>
  <si>
    <t>31 EFC (22 + 9 EFC-EP)</t>
  </si>
  <si>
    <t>Intermediari finanziari (art.106 TUB)</t>
  </si>
  <si>
    <t>金融中介（TUB第106条）</t>
  </si>
  <si>
    <t>Relazione annuale 2025 — Appendice Tavola a12.21</t>
  </si>
  <si>
    <t>Totale intermediari 176</t>
  </si>
  <si>
    <t>Operatori del microcredito</t>
  </si>
  <si>
    <t>小额信贷运营商</t>
  </si>
  <si>
    <t>Relazione annuale 2025 Appendice</t>
  </si>
  <si>
    <t>13 operatori del microcredito</t>
  </si>
  <si>
    <t>High Cost Credit Providers</t>
  </si>
  <si>
    <t>高成本信贷提供者</t>
  </si>
  <si>
    <t>2026-05-15</t>
  </si>
  <si>
    <t>Register of High Cost Credit Providers</t>
  </si>
  <si>
    <t>Total … 27 (Run Date 15 May 2026)</t>
  </si>
  <si>
    <t>Retail Credit Firms</t>
  </si>
  <si>
    <t>零售信贷公司</t>
  </si>
  <si>
    <t>Register of Retail Credit Firms</t>
  </si>
  <si>
    <t>authorised 27 + transitional 9 = 36</t>
  </si>
  <si>
    <t>Empresas financieras</t>
  </si>
  <si>
    <t>Evolución del Sistema Financiero Dic 2025</t>
  </si>
  <si>
    <t>Empresas Financieras | 7</t>
  </si>
  <si>
    <t>Empresas de créditos (ex-Edpymes)</t>
  </si>
  <si>
    <t>信贷公司</t>
  </si>
  <si>
    <t>SF-2103 Dic 2025</t>
  </si>
  <si>
    <t>Empresas de Créditos | 5</t>
  </si>
  <si>
    <t>Cooperativas de ahorro y crédito (CMF)</t>
  </si>
  <si>
    <t>储蓄信贷合作社(CMF)</t>
  </si>
  <si>
    <t>Listado de Cooperativas vigentes</t>
  </si>
  <si>
    <t>7 vigentes enumerated</t>
  </si>
  <si>
    <t>Compañías de financiamiento</t>
  </si>
  <si>
    <t>Entidades inscritas — Compañías de Financiamiento</t>
  </si>
  <si>
    <t>19 compañías de financiamiento</t>
  </si>
  <si>
    <t>Proveedores No Financieros de Crédito</t>
  </si>
  <si>
    <t>非金融信贷提供者(PNFC)</t>
  </si>
  <si>
    <t>Informe de PNFC — Junio 2026</t>
  </si>
  <si>
    <t>registro de PNFC alcanzó a 585 empresas</t>
  </si>
  <si>
    <t>Instytucje pożyczkowe</t>
  </si>
  <si>
    <t>非银行贷款机构</t>
  </si>
  <si>
    <t>Report on UKNF/KNF activities 2024</t>
  </si>
  <si>
    <t>100 non-bank lending institutions … in the register</t>
  </si>
  <si>
    <t>Sociedades financeiras de crédito (SFC)</t>
  </si>
  <si>
    <t>信贷金融公司(SFC)</t>
  </si>
  <si>
    <t>Boletim Oficial 1/2026</t>
  </si>
  <si>
    <t>SFC list = 4</t>
  </si>
  <si>
    <t>Instituições financeiras de crédito (IFC)</t>
  </si>
  <si>
    <t>信贷金融机构(IFC)</t>
  </si>
  <si>
    <t>IFC list = 5</t>
  </si>
  <si>
    <t>Finance Houses</t>
  </si>
  <si>
    <t>List of Finance Houses</t>
  </si>
  <si>
    <t>Showing 1 to 10 of 11 entries</t>
  </si>
  <si>
    <t>Savings and Loans companies</t>
  </si>
  <si>
    <t>储蓄贷款公司</t>
  </si>
  <si>
    <r>
      <rPr>
        <sz val="11"/>
        <color theme="1"/>
        <rFont val="Calibri"/>
        <family val="2"/>
        <charset val="1"/>
      </rPr>
      <t>BoG</t>
    </r>
    <r>
      <rPr>
        <sz val="11"/>
        <color theme="1"/>
        <rFont val="Noto Sans CJK SC"/>
        <family val="2"/>
      </rPr>
      <t>（媒体转引年报）</t>
    </r>
  </si>
  <si>
    <t>2025 BoG Annual Report cited</t>
  </si>
  <si>
    <t>https://www.myjoyonline.com/savings-and-loans-industry-records-gh%c2%a2515-32m-profit-in-2025-npls-decrease-to-11-8/</t>
  </si>
  <si>
    <t>licensed Savings and Loans stood at 26</t>
  </si>
  <si>
    <r>
      <rPr>
        <sz val="11"/>
        <color theme="1"/>
        <rFont val="Calibri"/>
        <family val="2"/>
        <charset val="1"/>
      </rPr>
      <t>BoG</t>
    </r>
    <r>
      <rPr>
        <sz val="11"/>
        <color theme="1"/>
        <rFont val="Noto Sans CJK SC"/>
        <family val="2"/>
      </rPr>
      <t>现场名录亦约</t>
    </r>
    <r>
      <rPr>
        <sz val="11"/>
        <color theme="1"/>
        <rFont val="Calibri"/>
        <family val="2"/>
        <charset val="1"/>
      </rPr>
      <t>26</t>
    </r>
    <r>
      <rPr>
        <sz val="11"/>
        <color theme="1"/>
        <rFont val="Noto Sans CJK SC"/>
        <family val="2"/>
      </rPr>
      <t>家</t>
    </r>
  </si>
  <si>
    <t>Tier 2 non-deposit taking MSPs</t>
  </si>
  <si>
    <t>二级非吸储小额信贷服务商</t>
  </si>
  <si>
    <t>Banking Supervision Annual Report 2025</t>
  </si>
  <si>
    <t>licensed Tier 2 Microfinance Service Providers … increased to 2,938</t>
  </si>
  <si>
    <t>Tier 2 microfinance institutions</t>
  </si>
  <si>
    <t>二级小额信贷机构（德勤引BoT）</t>
  </si>
  <si>
    <t>2026-02-28</t>
  </si>
  <si>
    <t>Deloitte Tanzania</t>
  </si>
  <si>
    <t>Tanzania's Budget 2026/27 … microcredit</t>
  </si>
  <si>
    <t>https://www.deloitte.com/tz/en/services/tax/perspectives/a-case-for-financial-inclusion-rethinking-excise-duty-on-microcredit-services-2026-27.html</t>
  </si>
  <si>
    <t>3,047 tier two microfinance institutions registered with BoT</t>
  </si>
  <si>
    <t>放债人（第四级）</t>
  </si>
  <si>
    <t>SACCO &amp; Microfinance Guidebook</t>
  </si>
  <si>
    <t>Moneylenders Licensed 2023: 1,402</t>
  </si>
  <si>
    <t>Non-deposit taking MFIs (Tier 4)</t>
  </si>
  <si>
    <t>非吸储小额信贷机构</t>
  </si>
  <si>
    <t>NDMFIs Licensed 2023: 249</t>
  </si>
  <si>
    <t>Lending-related NDFIs (money lender/factoring)</t>
  </si>
  <si>
    <t>放贷类非吸储金融机构</t>
  </si>
  <si>
    <t>MPFSS March 2025</t>
  </si>
  <si>
    <t>Lending-related (money lender and factoring) Dec-2024: 65</t>
  </si>
  <si>
    <t>持牌小额信贷机构（含U-SACCO）</t>
  </si>
  <si>
    <t>434 licensed institutions including … Umurenge SACCOs</t>
  </si>
  <si>
    <t>含大量合作社</t>
  </si>
  <si>
    <t>Financial Stability Report March 2026</t>
  </si>
  <si>
    <t>59 microfinance institutions … end of June 2025</t>
  </si>
  <si>
    <t>SFD</t>
  </si>
  <si>
    <t>分散式金融/小额信贷机构(SFD)</t>
  </si>
  <si>
    <t>Indicateurs des SFD UMOA 30/09/2025</t>
  </si>
  <si>
    <t>BENIN Nombre total de SFD = 53</t>
  </si>
  <si>
    <t>BURKINA Nombre total de SFD = 73</t>
  </si>
  <si>
    <t>COTE D'IVOIRE Nombre total de SFD = 48</t>
  </si>
  <si>
    <t>MALI Nombre total de SFD = 116</t>
  </si>
  <si>
    <t>SENEGAL Nombre total de SFD = 128</t>
  </si>
  <si>
    <t>EMF agréés</t>
  </si>
  <si>
    <t>获批小额信贷机构</t>
  </si>
  <si>
    <t>Microfinance : 385 établissements autorisés</t>
  </si>
  <si>
    <t>385 à avoir reçu l'agrément … 31 décembre 2025</t>
  </si>
  <si>
    <t>EMF</t>
  </si>
  <si>
    <t>Rapport Annuel 2024 de la COBAC</t>
  </si>
  <si>
    <t>Gabon (18) parmi 521 EMF CEMAC</t>
  </si>
  <si>
    <t>Sociedades de crédito (IFNBs)</t>
  </si>
  <si>
    <t>信贷公司（非银）</t>
  </si>
  <si>
    <t>Activo das IFNBs … I trimestre</t>
  </si>
  <si>
    <t>21 sociedades de crédito</t>
  </si>
  <si>
    <t>Operadores de microcrédito</t>
  </si>
  <si>
    <t>Relatório Anual 2025</t>
  </si>
  <si>
    <t>operadores de microcrédito … 3.427 em 2025</t>
  </si>
  <si>
    <t>Consumer+enterprise lending MFIs (non-deposit)</t>
  </si>
  <si>
    <t>消费/企业类非吸储小贷</t>
  </si>
  <si>
    <t>Annual Report 2024</t>
  </si>
  <si>
    <t>Consumer Lending MFIs 23 + Enterprise 3 = 26</t>
  </si>
  <si>
    <t>仅信贷小额信贷机构</t>
  </si>
  <si>
    <t>Bank Supervision Annual Report 2024</t>
  </si>
  <si>
    <t>Credit-only-MFIs | 268</t>
  </si>
  <si>
    <t>小额放贷人</t>
  </si>
  <si>
    <t>micro lenders being 282 entities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</si>
  <si>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放贷业合计</t>
    </r>
    <r>
      <rPr>
        <sz val="11"/>
        <color theme="1"/>
        <rFont val="Calibri"/>
        <family val="2"/>
        <charset val="1"/>
      </rPr>
      <t>407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2026-08-11: 282 unsupported in official lists — superseded by row below</t>
    </r>
  </si>
  <si>
    <t>Non-bank lenders industry</t>
  </si>
  <si>
    <t>非银放贷业合计</t>
  </si>
  <si>
    <t>non-bank lenders industry … 407</t>
  </si>
  <si>
    <t>2026-08-11: adopted as recommended count per NBFIRA AR2024 Table 2.1 (team decision)</t>
  </si>
  <si>
    <t>Microlenders</t>
  </si>
  <si>
    <t>microlending market Q4 2025</t>
  </si>
  <si>
    <t>958 microlenders active … Q4 2025</t>
  </si>
  <si>
    <t>Non-Bank Deposit Taking Institutions</t>
  </si>
  <si>
    <t>非银吸储机构</t>
  </si>
  <si>
    <t>Monthly Statistical Bulletin June 2025</t>
  </si>
  <si>
    <t>NBDTI list enumerates 6</t>
  </si>
  <si>
    <t>2,4 millions de clients pour les IMF</t>
  </si>
  <si>
    <t>Les 16 Institutions de microfinance … fin 2023</t>
  </si>
  <si>
    <t>Institutions de microfinance agréées</t>
  </si>
  <si>
    <t>Microfinance : la BCC réaffirme…</t>
  </si>
  <si>
    <t>116 institutions de microfinance agréées … fin 2025</t>
  </si>
  <si>
    <t>Microfinance banks (CBN live register)</t>
  </si>
  <si>
    <t>小额信贷银行(MFB)</t>
  </si>
  <si>
    <t>CBN MFB licence watch</t>
  </si>
  <si>
    <t>829 microfinance banks … 3 August 2026</t>
  </si>
  <si>
    <t>含部分已撤销滞后；Finance Housesofficial合计仍缺；2026-08-11 R2: 829→785 post-revocation</t>
  </si>
  <si>
    <t>Établissements financiers agréés</t>
  </si>
  <si>
    <t>持牌金融机构（非银行）</t>
  </si>
  <si>
    <t>Décision n° 26-01 — Liste EF agréés</t>
  </si>
  <si>
    <t>ANNEXE II LISTE DES ETABLISSEMENTS FINANCIERS AGREES AU 4 JANVIER 2026 — 8 entities</t>
  </si>
  <si>
    <t>Établissements de leasing</t>
  </si>
  <si>
    <t>租赁公司</t>
  </si>
  <si>
    <t>Rapport Annuel Supervision Bancaire 2024</t>
  </si>
  <si>
    <t>Etablissements de leasing 8</t>
  </si>
  <si>
    <t>Établissements financiers (non-bank total)</t>
  </si>
  <si>
    <t>非银行金融机构合计</t>
  </si>
  <si>
    <t>Rapport Supervision 2024</t>
  </si>
  <si>
    <t>Etablissements financiers 18</t>
  </si>
  <si>
    <t>含支付机构等</t>
  </si>
  <si>
    <t>专业融资公司</t>
  </si>
  <si>
    <t>شركات التمويل المتخصص</t>
  </si>
  <si>
    <t>Arabic/English directory cards counted ≈13</t>
  </si>
  <si>
    <t>Microfinance companies (active)</t>
  </si>
  <si>
    <t>小额融资公司（正常经营）</t>
  </si>
  <si>
    <t>دليل قطاع التمويل الأصغر</t>
  </si>
  <si>
    <t>https://www.cbj.gov.jo/AR/List/%D8%AF%D9%84%D9%8A%D9%84_%D9%82%D8%B7%D8%A7%D8%B9_%D8%A7%D9%84%D8%AA%D9%85%D9%88%D9%8A%D9%84_%D8%A7%D9%84%D8%A3%D8%B5%D8%BA%D8%B1</t>
  </si>
  <si>
    <t>9 listed minus 2 insolvent/liquidation = 7</t>
  </si>
  <si>
    <t>专业放贷机构</t>
  </si>
  <si>
    <t>JEIME paper citing PMA end-2024</t>
  </si>
  <si>
    <t>nine institutions licensed by the PMA by end of 2024</t>
  </si>
  <si>
    <t>小额融资银行</t>
  </si>
  <si>
    <t>قائمة البنوك المرخصة</t>
  </si>
  <si>
    <t>13 of 25 listed banks are microfinance banks</t>
  </si>
  <si>
    <t>持牌小额融资机构</t>
  </si>
  <si>
    <t>2023 Microfinance Sector Performance Report cited</t>
  </si>
  <si>
    <t>fifty-one licensed institutions</t>
  </si>
  <si>
    <t>Finance and leasing companies (market peer set)</t>
  </si>
  <si>
    <t>融资租赁公司</t>
  </si>
  <si>
    <t>Ominvest Investor Presentation 2025</t>
  </si>
  <si>
    <t>5 named FLC peers after National Finance–Orix merger</t>
  </si>
  <si>
    <t>Financial institutions (BDL list index)</t>
  </si>
  <si>
    <t>金融机构（BDL名录）</t>
  </si>
  <si>
    <t>Institutions Supervised — Financial Institutions update</t>
  </si>
  <si>
    <t>Update refers to company No.48 on financial institutions list</t>
  </si>
  <si>
    <t>Finance companies / other nonbank lenders (Census mailing universe)</t>
  </si>
  <si>
    <t>金融公司/其他非银放贷人（普查寄送总体）</t>
  </si>
  <si>
    <t>2025 Census of Finance Companies and Other Lenders</t>
  </si>
  <si>
    <t>letter … sent to approximately 13,000 companies</t>
  </si>
  <si>
    <t>非全国licensed总数；最接近official全国口径。另有合格finance companies≈2,100（2021sample框）；2026-08-11 R2: 13,000→5,346 (Fed 2010 census estimate; label as estimate)</t>
  </si>
  <si>
    <t>Eligible finance companies (SFC sample frame)</t>
  </si>
  <si>
    <t>合格金融公司（调查样本框）</t>
  </si>
  <si>
    <t>2021-06-30</t>
  </si>
  <si>
    <t>survey_frame</t>
  </si>
  <si>
    <t>Survey of Finance Companies 2020–21 Findings</t>
  </si>
  <si>
    <t>https://www.federalreserve.gov/publications/2025-january-survey-of-finance-companies-2020-21.htm</t>
  </si>
  <si>
    <t>SFC was sent to approximately 2,100 finance companies</t>
  </si>
  <si>
    <t>Firms with FCA permission to offer consumer credit lending</t>
  </si>
  <si>
    <t>持有FCA消费信贷放贷许可的机构</t>
  </si>
  <si>
    <t>PS24/3: Consumer Credit – Product Sales Data Reporting</t>
  </si>
  <si>
    <t>More than 3,500 firms have permission to offer lending products</t>
  </si>
  <si>
    <t>AFM 'Aanbieden van krediet' licence holders</t>
  </si>
  <si>
    <r>
      <rPr>
        <sz val="11"/>
        <color theme="1"/>
        <rFont val="Calibri"/>
        <family val="2"/>
        <charset val="1"/>
      </rPr>
      <t>AFM</t>
    </r>
    <r>
      <rPr>
        <sz val="11"/>
        <color theme="1"/>
        <rFont val="Noto Sans CJK SC"/>
        <family val="2"/>
      </rPr>
      <t>信贷提供牌照持有人</t>
    </r>
  </si>
  <si>
    <t>Register financiële dienstverleners — Aanbieden van krediet</t>
  </si>
  <si>
    <t>381 Resultaten; update 10 augustus 2026</t>
  </si>
  <si>
    <t>Konsumentkreditinstitut (main activity)</t>
  </si>
  <si>
    <t>消费者信贷机构（主业）</t>
  </si>
  <si>
    <t>Företagsregistret — Konsumentkreditinstitut</t>
  </si>
  <si>
    <t>Huvudverksamhet: Konsumentkreditinstitut (16 st)</t>
  </si>
  <si>
    <t>Konsumentkreditinstitut (pre-deadline approx)</t>
  </si>
  <si>
    <t>消费者信贷机构（过渡期前约数）</t>
  </si>
  <si>
    <t>2026-02-17</t>
  </si>
  <si>
    <t>FI kontaktar företag om skärpta regler…</t>
  </si>
  <si>
    <t>https://www.fi.se/sv/publicerat/nyheter/2026/fi-kontaktar-foretag-om-skarpta-regler-for-konsumentkrediter/</t>
  </si>
  <si>
    <t>minskat från cirka 60 till cirka 50</t>
  </si>
  <si>
    <t>SME finance companies (CBI-licensed)</t>
  </si>
  <si>
    <t>中小企业融资公司</t>
  </si>
  <si>
    <t>المؤسسات المالية غير المصرفية — شركات تمويل المشاريع الصغيرة والمتوسطة</t>
  </si>
  <si>
    <t>جدول شركات تمويل المشاريع الصغيرة والمتوسطة: 1 العراقية… 2 الاولى… (=2)</t>
  </si>
  <si>
    <t>卡塔尔央行注册伊斯兰融资公司</t>
  </si>
  <si>
    <t>Qatar 2024 — Islamic financial services overview</t>
  </si>
  <si>
    <t>three of these are registered with the QCB – Al Jazeera Finance; First Finance; Qatar Finance House</t>
  </si>
  <si>
    <t>metric_scope</t>
  </si>
  <si>
    <t>metric_scope_en</t>
  </si>
  <si>
    <t>metric_label</t>
  </si>
  <si>
    <t>unit_note</t>
  </si>
  <si>
    <t>outstanding_usd_bn_indicative</t>
  </si>
  <si>
    <t>evidence_type</t>
  </si>
  <si>
    <t>retrieval_date</t>
  </si>
  <si>
    <t>qc_status</t>
  </si>
  <si>
    <t>qc_notes</t>
  </si>
  <si>
    <t>nonbank_total_mixed</t>
  </si>
  <si>
    <t>十亿SAR报表值×1e9</t>
  </si>
  <si>
    <t>Saudi Central Bank (SAMA)</t>
  </si>
  <si>
    <t>Key Economic Developments — Third Quarter 2025</t>
  </si>
  <si>
    <t>official_pdf</t>
  </si>
  <si>
    <t>total credit offered by finance companies … SAR 102.7 billion in Q3 2025 … retail finance (77.0%)</t>
  </si>
  <si>
    <t>PASS</t>
  </si>
  <si>
    <r>
      <rPr>
        <sz val="11"/>
        <color theme="1"/>
        <rFont val="Calibri"/>
        <family val="2"/>
        <charset val="1"/>
      </rPr>
      <t>PDF downloaded and verified</t>
    </r>
    <r>
      <rPr>
        <sz val="11"/>
        <color theme="1"/>
        <rFont val="Noto Sans CJK SC"/>
        <family val="2"/>
      </rPr>
      <t>；零售占</t>
    </r>
    <r>
      <rPr>
        <sz val="11"/>
        <color theme="1"/>
        <rFont val="Calibri"/>
        <family val="2"/>
        <charset val="1"/>
      </rPr>
      <t>77%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not pure personal</t>
    </r>
    <r>
      <rPr>
        <sz val="11"/>
        <color theme="1"/>
        <rFont val="Noto Sans CJK SC"/>
        <family val="2"/>
      </rPr>
      <t>现金贷</t>
    </r>
  </si>
  <si>
    <t>personal_total</t>
  </si>
  <si>
    <t>十亿AED</t>
  </si>
  <si>
    <t>UAE Monetary, Banking &amp; Financial Markets Developments Report — 2025 Q4</t>
  </si>
  <si>
    <t>Personal Loans to Residents = 567.9 (AED bn) Dec 2025</t>
  </si>
  <si>
    <t>银行对居民personal贷，非Finance Companynon-bank口径</t>
  </si>
  <si>
    <t>₹ crore → ×1e7</t>
  </si>
  <si>
    <t>Report on Trend and Progress of Banking in India 2024-25 — NBFC</t>
  </si>
  <si>
    <t>official_webpage_table</t>
  </si>
  <si>
    <t>Loans and Advances end-March 2025 = ₹48,38,744 crore</t>
  </si>
  <si>
    <t>含HFC等，非仅personal现金贷</t>
  </si>
  <si>
    <t>Non-bank NBFC retail loans (incl. housing/auto etc.)</t>
  </si>
  <si>
    <t>NBFC Retail Loans (sectoral)</t>
  </si>
  <si>
    <t>Trend and Progress 2024-25 — Sectoral Credit Deployment by NBFCs</t>
  </si>
  <si>
    <t>Retail Loans End-September 2025 = ₹18,38,897 crore</t>
  </si>
  <si>
    <t>零售含住房等</t>
  </si>
  <si>
    <t>nonbank_personal</t>
  </si>
  <si>
    <t>億円 → ×1e8</t>
  </si>
  <si>
    <t>貸金業関係資料（全国ベース）令和7年3月末</t>
  </si>
  <si>
    <t>令和7年3月末 消費者向貸付残高 84,874（億円）</t>
  </si>
  <si>
    <t>million THB</t>
  </si>
  <si>
    <t>FI_CB_081 Personal Loan and Nano Finance under Supervision</t>
  </si>
  <si>
    <t>official_stats_portal</t>
  </si>
  <si>
    <t>2. Non-Banks Outstanding ≈ 643,446 (Millions of Baht), JUN 2026 p</t>
  </si>
  <si>
    <r>
      <rPr>
        <sz val="11"/>
        <color theme="1"/>
        <rFont val="Calibri"/>
        <family val="2"/>
        <charset val="1"/>
      </rPr>
      <t>BOTofficial</t>
    </r>
    <r>
      <rPr>
        <sz val="11"/>
        <color theme="1"/>
        <rFont val="Noto Sans CJK SC"/>
        <family val="2"/>
      </rPr>
      <t>统计门户</t>
    </r>
  </si>
  <si>
    <r>
      <rPr>
        <sz val="11"/>
        <color theme="1"/>
        <rFont val="Calibri"/>
        <family val="2"/>
        <charset val="1"/>
      </rPr>
      <t>1.43</t>
    </r>
    <r>
      <rPr>
        <sz val="11"/>
        <color theme="1"/>
        <rFont val="Noto Sans CJK SC"/>
        <family val="2"/>
      </rPr>
      <t>万亿元</t>
    </r>
  </si>
  <si>
    <t>中国银行业协会（人民网英文转载）</t>
  </si>
  <si>
    <t>China's consumer finance firms outstanding loans 1.43 trillion yuan (2025)</t>
  </si>
  <si>
    <t>semi_official_news_citing_association</t>
  </si>
  <si>
    <t>Outstanding loans … to 1.43 trillion yuan</t>
  </si>
  <si>
    <r>
      <rPr>
        <sz val="11"/>
        <color theme="1"/>
        <rFont val="Calibri"/>
        <family val="2"/>
        <charset val="1"/>
      </rPr>
      <t>Suggest follow-up to supplement</t>
    </r>
    <r>
      <rPr>
        <sz val="11"/>
        <color theme="1"/>
        <rFont val="Noto Sans CJK SC"/>
        <family val="2"/>
      </rPr>
      <t>中银协原报告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microfinance/microloan</t>
    </r>
    <r>
      <rPr>
        <sz val="11"/>
        <color theme="1"/>
        <rFont val="Noto Sans CJK SC"/>
        <family val="2"/>
      </rPr>
      <t>全行业另待核</t>
    </r>
  </si>
  <si>
    <t>IDR trillion</t>
  </si>
  <si>
    <t>Financing Institutions… Fintech P2P … Update March 2026</t>
  </si>
  <si>
    <t>official_webpage</t>
  </si>
  <si>
    <t>outstanding loans … IDR101.03 trillion</t>
  </si>
  <si>
    <t>含生产性贷款；multifinance另待核</t>
  </si>
  <si>
    <t>Consumer credit gross debtors book (banks + non-banks)</t>
  </si>
  <si>
    <t>Gross debtors book — total consumer credit (NCA)</t>
  </si>
  <si>
    <t>约2.4388 trillion ZAR</t>
  </si>
  <si>
    <t>Consumer Credit Market Report Q2 2025</t>
  </si>
  <si>
    <t>Gross debtors book ≈ R2.439 trillion</t>
  </si>
  <si>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已下载</t>
    </r>
  </si>
  <si>
    <t>billion ZAR</t>
  </si>
  <si>
    <t>CCMR Q2 2025</t>
  </si>
  <si>
    <t>Other credit providers R185.826 billion (June 2025)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</si>
  <si>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相关拆分</t>
    </r>
  </si>
  <si>
    <t>billion MAD</t>
  </si>
  <si>
    <t>Rapport sur la stabilité financière 2025 (n°13)</t>
  </si>
  <si>
    <t>sociétés de financement … atteindre 99 milliards de dirhams</t>
  </si>
  <si>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原文已核</t>
    </r>
  </si>
  <si>
    <t>Consumer credit market total (banks + finance companies)</t>
  </si>
  <si>
    <t>Crédits à la consommation — marché total</t>
  </si>
  <si>
    <t>RSF 2025</t>
  </si>
  <si>
    <t>L’encours des crédits à la consommation s’est établi à 183 milliards de dirhams en 2025</t>
  </si>
  <si>
    <t>银行85+finance companies99</t>
  </si>
  <si>
    <t>billion KES</t>
  </si>
  <si>
    <t>CBK / CMA FSSR</t>
  </si>
  <si>
    <t>Kenya Financial Sector Stability Report Sept 2025</t>
  </si>
  <si>
    <t>The DCP advanced KSh 76.8 billion … June 2025 which is more than the outstanding loans advanced by the microfinance banks</t>
  </si>
  <si>
    <t>措辞advanced，但与MFB outstanding对照，按在贷存量解读</t>
  </si>
  <si>
    <t>billion NIS</t>
  </si>
  <si>
    <t>Bank of Israel</t>
  </si>
  <si>
    <t>Debt Developments in the Nonfinancial Private Sector, Q3 2025</t>
  </si>
  <si>
    <t>credit card companies household nonhousing debt = NIS 43.6 billion</t>
  </si>
  <si>
    <t>RM million</t>
  </si>
  <si>
    <t>Table 1.19.6 Household Loan/Financing by Purpose</t>
  </si>
  <si>
    <t>official_xlsx</t>
  </si>
  <si>
    <t>Jun 2026 Personal Uses = RM 120,580.07 million</t>
  </si>
  <si>
    <t>银行体系personal用途</t>
  </si>
  <si>
    <t>trillion KRW</t>
  </si>
  <si>
    <t>Bank of Korea</t>
  </si>
  <si>
    <t>Household Credits in Q1 2026</t>
  </si>
  <si>
    <t>household loans totaling 1,865.8 trillion won</t>
  </si>
  <si>
    <t>家庭贷款总量；2026-08-11: ex-mortgage switch applied then REVERTED pending team confirmation on whether mortgages are in TAM scope；2026-08-11 senior decision: net of mortgage (gross 1,865,800,000,000,000 − mortgage 1,178,600,000,000,000); see master cols AE/AF</t>
  </si>
  <si>
    <t>NT$ million</t>
  </si>
  <si>
    <t>CBC</t>
  </si>
  <si>
    <t>消費者貸款及建築貸款餘額 EF99M01</t>
  </si>
  <si>
    <t>official_open_data</t>
  </si>
  <si>
    <r>
      <rPr>
        <sz val="11"/>
        <color theme="1"/>
        <rFont val="Calibri"/>
        <family val="2"/>
        <charset val="1"/>
      </rPr>
      <t xml:space="preserve">2026M06 </t>
    </r>
    <r>
      <rPr>
        <sz val="11"/>
        <color theme="1"/>
        <rFont val="Noto Sans CJK SC"/>
        <family val="2"/>
      </rPr>
      <t>消費者貸款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 xml:space="preserve">小計 </t>
    </r>
    <r>
      <rPr>
        <sz val="11"/>
        <color theme="1"/>
        <rFont val="Calibri"/>
        <family val="2"/>
        <charset val="1"/>
      </rPr>
      <t>= 13,843,306 (</t>
    </r>
    <r>
      <rPr>
        <sz val="11"/>
        <color theme="1"/>
        <rFont val="Noto Sans CJK SC"/>
        <family val="2"/>
      </rPr>
      <t>百万新台币</t>
    </r>
    <r>
      <rPr>
        <sz val="11"/>
        <color theme="1"/>
        <rFont val="Calibri"/>
        <family val="2"/>
        <charset val="1"/>
      </rPr>
      <t>)</t>
    </r>
  </si>
  <si>
    <t>含购屋贷等；2026-08-11: ex-mortgage switch applied then REVERTED pending team confirmation on whether mortgages are in TAM scope；2026-08-11 senior decision: net of mortgage (gross 13,843,306,000,000 − mortgage 11,812,652,000,000); see master cols AE/AF</t>
  </si>
  <si>
    <t>HK$ million</t>
  </si>
  <si>
    <t>HKMA</t>
  </si>
  <si>
    <t>Monthly Statistical Bulletin Table 3.5.1</t>
  </si>
  <si>
    <t>official_xls</t>
  </si>
  <si>
    <t>For other private purposes ≈ HK$748,476.8 million (2026-03)</t>
  </si>
  <si>
    <t>银行体系口径</t>
  </si>
  <si>
    <t>billion PHP</t>
  </si>
  <si>
    <t>BSP</t>
  </si>
  <si>
    <t>Quarterly Banking Sector Report Q3 2025</t>
  </si>
  <si>
    <t>Total consumer loans = ₱3,537.0 billion</t>
  </si>
  <si>
    <t>银行consumer贷；2026-08-11: excl-RREL switch applied then REVERTED pending team confirmation on mortgage scope；2026-08-11 senior decision: net of mortgage (gross 3,537,000,000,000 − mortgage 1,078,785,000,000); see master cols AE/AF；2026-08-11: mortgage updated to EXACT BSP RRE 1,188bn (Sep-2025) — net 2,349bn</t>
  </si>
  <si>
    <t>billion PKR</t>
  </si>
  <si>
    <t>SBP</t>
  </si>
  <si>
    <t>The Banking Sector Stability 2025</t>
  </si>
  <si>
    <t>reach Rs 1,024 billion by end CY25</t>
  </si>
  <si>
    <t>银行consumer融资；2026-08-11: ex-mortgage switch applied then REVERTED pending team confirmation on whether mortgages are in TAM scope；2026-08-11 senior decision: net of mortgage (gross 1,024,000,000,000 − mortgage 224,664,000,000); see master cols AE/AF；2026-08-11: adopted SBP same-series Dec-2025 gross 998bn − house building 220bn = 778bn (prior 1,024bn total inconsistent with SBP monthly series)</t>
  </si>
  <si>
    <t>trillion KZT</t>
  </si>
  <si>
    <t>National Bank of Kazakhstan</t>
  </si>
  <si>
    <t>Annual Report of the National Bank of Kazakhstan for 2025</t>
  </si>
  <si>
    <t>unsecured consumer lending … 11.6 trillion tenge</t>
  </si>
  <si>
    <r>
      <rPr>
        <sz val="11"/>
        <color theme="1"/>
        <rFont val="Calibri"/>
        <family val="2"/>
        <charset val="1"/>
      </rPr>
      <t>consumer</t>
    </r>
    <r>
      <rPr>
        <sz val="11"/>
        <color theme="1"/>
        <rFont val="Noto Sans CJK SC"/>
        <family val="2"/>
      </rPr>
      <t>贷口径</t>
    </r>
  </si>
  <si>
    <t>billion MXN (2025-12 Banxico)</t>
  </si>
  <si>
    <t>Banco de México</t>
  </si>
  <si>
    <t>Agregados Monetarios y Actividad Financiera — diciembre 2025</t>
  </si>
  <si>
    <t>Créditos personales = MXN 278.3 billion</t>
  </si>
  <si>
    <t>银行personal贷</t>
  </si>
  <si>
    <t>Commercial banks consumer loans total</t>
  </si>
  <si>
    <t>Crédito al consumo (banca comercial)</t>
  </si>
  <si>
    <t>billion MXN</t>
  </si>
  <si>
    <t>Agregados Monetarios … diciembre 2025</t>
  </si>
  <si>
    <t>Crédito al consumo = MXN 1,875.7 billion</t>
  </si>
  <si>
    <t>更宽consumer贷</t>
  </si>
  <si>
    <t>billion BD</t>
  </si>
  <si>
    <t>Financial Stability Report September 2025</t>
  </si>
  <si>
    <t>Outstanding personal loans = BD 6.1 billion</t>
  </si>
  <si>
    <t>银行personal贷；2026-08-11: ex-mortgage switch applied then REVERTED pending team confirmation on whether mortgages are in TAM scope；2026-08-11 senior decision: net of mortgage (gross 6,103,500,000 − mortgage 3,093,900,000); see master cols AE/AF</t>
  </si>
  <si>
    <t>KD million</t>
  </si>
  <si>
    <t>Monthly Monetary Statistics table 1301</t>
  </si>
  <si>
    <t>Consumer Loans = KD 2,070.2 million (end-Jan 2026)</t>
  </si>
  <si>
    <t>中期personalconsumer贷</t>
  </si>
  <si>
    <t>million TRY</t>
  </si>
  <si>
    <t>Weekly Bulletin — Banking Sector Loans</t>
  </si>
  <si>
    <t>Personal Finance = TRY 2,407,042 million</t>
  </si>
  <si>
    <t>银行部门；2026-08-11 verification: USD conv corrected (TRY 45.19)</t>
  </si>
  <si>
    <t>billion NGN</t>
  </si>
  <si>
    <t>CBN</t>
  </si>
  <si>
    <t>CBN Annual Report 2025</t>
  </si>
  <si>
    <t>Consumer credit outstanding = NGN 3,783.40 billion</t>
  </si>
  <si>
    <r>
      <rPr>
        <sz val="11"/>
        <color theme="1"/>
        <rFont val="Calibri"/>
        <family val="2"/>
        <charset val="1"/>
      </rPr>
      <t>ODCconsumer</t>
    </r>
    <r>
      <rPr>
        <sz val="11"/>
        <color theme="1"/>
        <rFont val="Noto Sans CJK SC"/>
        <family val="2"/>
      </rPr>
      <t>信贷</t>
    </r>
  </si>
  <si>
    <t>milhões de reais</t>
  </si>
  <si>
    <t>Banco Central do Brasil</t>
  </si>
  <si>
    <t>SGS 20580 crédito pessoal total</t>
  </si>
  <si>
    <t>official_api</t>
  </si>
  <si>
    <t>JSON 01/06/2026 valor=1182697 (R$ milhões)</t>
  </si>
  <si>
    <r>
      <rPr>
        <sz val="11"/>
        <color theme="1"/>
        <rFont val="Calibri"/>
        <family val="2"/>
        <charset val="1"/>
      </rPr>
      <t>officialAPI</t>
    </r>
    <r>
      <rPr>
        <sz val="11"/>
        <color theme="1"/>
        <rFont val="Noto Sans CJK SC"/>
        <family val="2"/>
      </rPr>
      <t>已现场核验</t>
    </r>
  </si>
  <si>
    <t>Consumer credit total (seasonally adjusted)</t>
  </si>
  <si>
    <t>Consumer credit outstanding total (SA)</t>
  </si>
  <si>
    <t>billions USD</t>
  </si>
  <si>
    <t>Consumer Credit — G.19 Current Release (Aug 7, 2026)</t>
  </si>
  <si>
    <t>https://www.federalreserve.gov/Releases/G19/Current/</t>
  </si>
  <si>
    <t>Total outstanding SA Junp = 5,166.9 (USD bn)</t>
  </si>
  <si>
    <t>官网表格已现场核验；含学贷/车贷/卡等</t>
  </si>
  <si>
    <t>Consumer credit held by finance companies (non-bank holders)</t>
  </si>
  <si>
    <t>Consumer credit held by finance companies (NSA)</t>
  </si>
  <si>
    <t>G.19 — Consumer Credit Outstanding (Levels) NSA by major holders</t>
  </si>
  <si>
    <t>Finance companies Junp = 699.5 (USD bn, NSA levels)</t>
  </si>
  <si>
    <t>持有人口径non-bank；含车贷等，非纯现金贷</t>
  </si>
  <si>
    <t>millones S/</t>
  </si>
  <si>
    <t>BCRP</t>
  </si>
  <si>
    <t>BCRPData PN00533MM Saldos - Consumo</t>
  </si>
  <si>
    <t>Jun26 = 114292 (millones S/)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</si>
  <si>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序列页已现场核验</t>
    </r>
  </si>
  <si>
    <r>
      <rPr>
        <sz val="11"/>
        <color theme="1"/>
        <rFont val="Calibri"/>
        <family val="2"/>
        <charset val="1"/>
      </rPr>
      <t xml:space="preserve">billones de $ = ARS billion×1e9? </t>
    </r>
    <r>
      <rPr>
        <sz val="11"/>
        <color theme="1"/>
        <rFont val="Noto Sans CJK SC"/>
        <family val="2"/>
      </rPr>
      <t>报表</t>
    </r>
    <r>
      <rPr>
        <sz val="11"/>
        <color theme="1"/>
        <rFont val="Calibri"/>
        <family val="2"/>
        <charset val="1"/>
      </rPr>
      <t>jun-26=21.062 billones → 21062e9</t>
    </r>
  </si>
  <si>
    <t>Informe Monetario Mensual — Junio de 2026</t>
  </si>
  <si>
    <t>Annex 'Personales' jun-26 = 21.062 (billones de $)</t>
  </si>
  <si>
    <t>单位为阿根廷billones；高通胀下USD换算极敏感，local currency is authoritative</t>
  </si>
  <si>
    <t>miles de millones de pesos → ×1e9</t>
  </si>
  <si>
    <t>Banco Central de Chile</t>
  </si>
  <si>
    <t>BDE ICS_COLOCACIONES</t>
  </si>
  <si>
    <t>Consumo / Moneda Nacional 31.Jul.2026 = 21.536,3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</si>
  <si>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统计系统</t>
    </r>
  </si>
  <si>
    <t>billion EGP</t>
  </si>
  <si>
    <t>FRA via Ahram Online</t>
  </si>
  <si>
    <t>FRA reported consumer finance portfolios end-2025</t>
  </si>
  <si>
    <t>semi_official_news_citing_regulator</t>
  </si>
  <si>
    <t>outstanding credit portfolios … EGP 96.3 billion (end-2025)</t>
  </si>
  <si>
    <t>监管数据经media转载；FRA官网本轮未打开，Suggest follow-up to supplement官源PDF</t>
  </si>
  <si>
    <t>Finance Companies — G.20 Current Release (Jul 31, 2026)</t>
  </si>
  <si>
    <t>Owned and Managed Receivables Outstanding SA: Consumer Mayp = 924.0 (USD bn)</t>
  </si>
  <si>
    <t>官网表格已现场核验；优先于G.19持有人口径</t>
  </si>
  <si>
    <t>CAD millions</t>
  </si>
  <si>
    <t>Statistics Canada</t>
  </si>
  <si>
    <t>Table 36-10-0639-01 Monthly credit aggregates</t>
  </si>
  <si>
    <t>official_csv</t>
  </si>
  <si>
    <t>CSV: 2026-05 Canada Raw Non-mortgage loans VALUE=827701 (CAD millions)</t>
  </si>
  <si>
    <r>
      <rPr>
        <sz val="11"/>
        <color theme="1"/>
        <rFont val="Calibri"/>
        <family val="2"/>
        <charset val="1"/>
      </rPr>
      <t>officialCSV</t>
    </r>
    <r>
      <rPr>
        <sz val="11"/>
        <color theme="1"/>
        <rFont val="Noto Sans CJK SC"/>
        <family val="2"/>
      </rPr>
      <t>已下载核验；</t>
    </r>
    <r>
      <rPr>
        <sz val="11"/>
        <color theme="1"/>
        <rFont val="Calibri"/>
        <family val="2"/>
        <charset val="1"/>
      </rPr>
      <t>includes banks+non-bank</t>
    </r>
    <r>
      <rPr>
        <sz val="11"/>
        <color theme="1"/>
        <rFont val="Noto Sans CJK SC"/>
        <family val="2"/>
      </rPr>
      <t>存款类等全贷款人</t>
    </r>
  </si>
  <si>
    <t>GBP billions</t>
  </si>
  <si>
    <t>Bank of England</t>
  </si>
  <si>
    <t>Money and Credit — Tables A and K June 2026 (Table B)</t>
  </si>
  <si>
    <t>Table B Jun 2026 = 256.333</t>
  </si>
  <si>
    <r>
      <rPr>
        <sz val="11"/>
        <color theme="1"/>
        <rFont val="Calibri"/>
        <family val="2"/>
        <charset val="1"/>
      </rPr>
      <t>BoE xlsx</t>
    </r>
    <r>
      <rPr>
        <sz val="11"/>
        <color theme="1"/>
        <rFont val="Noto Sans CJK SC"/>
        <family val="2"/>
      </rPr>
      <t>已下载核验</t>
    </r>
  </si>
  <si>
    <t>EUR millions</t>
  </si>
  <si>
    <t>European Central Bank (BSI)</t>
  </si>
  <si>
    <t>ECB Data Portal BSI.M.DE.N.A.A21.A.1.U2.2250.Z01.E</t>
  </si>
  <si>
    <t>BSI.M.DE.N.A.A21.A.1.U2.2250.Z01.E 2026-06 = 204411</t>
  </si>
  <si>
    <r>
      <rPr>
        <sz val="11"/>
        <color theme="1"/>
        <rFont val="Calibri"/>
        <family val="2"/>
        <charset val="1"/>
      </rPr>
      <t xml:space="preserve">ECB BSI API lastNObservations </t>
    </r>
    <r>
      <rPr>
        <sz val="11"/>
        <color theme="1"/>
        <rFont val="Noto Sans CJK SC"/>
        <family val="2"/>
      </rPr>
      <t xml:space="preserve">已核验 </t>
    </r>
    <r>
      <rPr>
        <sz val="11"/>
        <color theme="1"/>
        <rFont val="Calibri"/>
        <family val="2"/>
        <charset val="1"/>
      </rPr>
      <t>2026-06</t>
    </r>
  </si>
  <si>
    <t>ECB Data Portal BSI.M.FR.N.A.A21.A.1.U2.2250.Z01.E</t>
  </si>
  <si>
    <t>BSI.M.FR.N.A.A21.A.1.U2.2250.Z01.E 2026-06 = 206339</t>
  </si>
  <si>
    <t>ECB Data Portal BSI.M.IT.N.A.A21.A.1.U2.2250.Z01.E</t>
  </si>
  <si>
    <t>BSI.M.IT.N.A.A21.A.1.U2.2250.Z01.E 2026-06 = 134966</t>
  </si>
  <si>
    <t>ECB Data Portal BSI.M.ES.N.A.A21.A.1.U2.2250.Z01.E</t>
  </si>
  <si>
    <t>BSI.M.ES.N.A.A21.A.1.U2.2250.Z01.E 2026-06 = 118808</t>
  </si>
  <si>
    <t>ECB Data Portal BSI.M.NL.N.A.A21.A.1.U2.2250.Z01.E</t>
  </si>
  <si>
    <t>BSI.M.NL.N.A.A21.A.1.U2.2250.Z01.E 2026-06 = 6821</t>
  </si>
  <si>
    <r>
      <rPr>
        <sz val="11"/>
        <color theme="1"/>
        <rFont val="Calibri"/>
        <family val="2"/>
        <charset val="1"/>
      </rPr>
      <t xml:space="preserve">ECB BSI API lastNObservations </t>
    </r>
    <r>
      <rPr>
        <sz val="11"/>
        <color theme="1"/>
        <rFont val="Noto Sans CJK SC"/>
        <family val="2"/>
      </rPr>
      <t xml:space="preserve">已核验 </t>
    </r>
    <r>
      <rPr>
        <sz val="11"/>
        <color theme="1"/>
        <rFont val="Calibri"/>
        <family val="2"/>
        <charset val="1"/>
      </rPr>
      <t>2026-06;</t>
    </r>
    <r>
      <rPr>
        <sz val="11"/>
        <color theme="1"/>
        <rFont val="Noto Sans CJK SC"/>
        <family val="2"/>
      </rPr>
      <t>荷兰</t>
    </r>
    <r>
      <rPr>
        <sz val="11"/>
        <color theme="1"/>
        <rFont val="Calibri"/>
        <family val="2"/>
        <charset val="1"/>
      </rPr>
      <t>BSIconsumer</t>
    </r>
    <r>
      <rPr>
        <sz val="11"/>
        <color theme="1"/>
        <rFont val="Noto Sans CJK SC"/>
        <family val="2"/>
      </rPr>
      <t>信贷口径偏窄，数字显著偏低属统计分类</t>
    </r>
  </si>
  <si>
    <t>ECB Data Portal BSI.M.IE.N.A.A21.A.1.U2.2250.Z01.E</t>
  </si>
  <si>
    <t>BSI.M.IE.N.A.A21.A.1.U2.2250.Z01.E 2026-06 = 14536</t>
  </si>
  <si>
    <t>ECB Data Portal BSI.M.PT.N.A.A21.A.1.U2.2250.Z01.E</t>
  </si>
  <si>
    <t>BSI.M.PT.N.A.A21.A.1.U2.2250.Z01.E 2026-06 = 22514.94</t>
  </si>
  <si>
    <t>ECB Data Portal BSI.M.SE.N.A.A21.A.1.U6.2250.Z01.E</t>
  </si>
  <si>
    <t>BSI.M.SE.N.A.A21.A.1.U6.2250.Z01.E 2026-06 = 28897.73</t>
  </si>
  <si>
    <t>ECB Data Portal BSI.M.PL.N.A.A21.A.1.U6.2250.Z01.E</t>
  </si>
  <si>
    <t>BSI.M.PL.N.A.A21.A.1.U6.2250.Z01.E 2026-06 = 57015.71</t>
  </si>
  <si>
    <t>bln rubles</t>
  </si>
  <si>
    <t>Household financial assets and liabilities</t>
  </si>
  <si>
    <t>Consumer loans* balance = 13,488 (bln rubles) as of 01.07.2026</t>
  </si>
  <si>
    <t>官网表已核；另有MFC loans约161bln可作non-bank补充待另行列；2026-08-11 verification: USD conv corrected (RUB 77.52)</t>
  </si>
  <si>
    <t>Banking system consumer loans (excl. RREL)</t>
  </si>
  <si>
    <t>PBS consumer loans (excl. RREL)</t>
  </si>
  <si>
    <t>PHP millions</t>
  </si>
  <si>
    <t>Loans Outstanding for Production and Consumer Loans (PBS) tab24b</t>
  </si>
  <si>
    <t>https://www.bsp.gov.ph/Statistics/Financial%20System%20Accounts/tab24b_pbs.aspx</t>
  </si>
  <si>
    <t>B. For Consumer Loans … 2,781,511 (latest column)</t>
  </si>
  <si>
    <t>比Q3-2025季报更新；推荐用此行；2026-08-11: excl-RREL switch applied then REVERTED pending team confirmation on mortgage scope</t>
  </si>
  <si>
    <t>Non-bank microloan company loan balance</t>
  </si>
  <si>
    <t>Microloan companies — loan outstanding</t>
  </si>
  <si>
    <t>亿元 → ×1e8</t>
  </si>
  <si>
    <t>中国人民银行</t>
  </si>
  <si>
    <t>截至2025年9月末…贷款余额7229亿元</t>
  </si>
  <si>
    <r>
      <rPr>
        <sz val="11"/>
        <color theme="1"/>
        <rFont val="Calibri"/>
        <family val="2"/>
        <charset val="1"/>
      </rPr>
      <t>central bank</t>
    </r>
    <r>
      <rPr>
        <sz val="11"/>
        <color theme="1"/>
        <rFont val="Noto Sans CJK SC"/>
        <family val="2"/>
      </rPr>
      <t>官网正文已核；</t>
    </r>
    <r>
      <rPr>
        <sz val="11"/>
        <color theme="1"/>
        <rFont val="Calibri"/>
        <family val="2"/>
        <charset val="1"/>
      </rPr>
      <t>microfinance/microloan</t>
    </r>
    <r>
      <rPr>
        <sz val="11"/>
        <color theme="1"/>
        <rFont val="Noto Sans CJK SC"/>
        <family val="2"/>
      </rPr>
      <t>含经营贷等，标</t>
    </r>
    <r>
      <rPr>
        <sz val="11"/>
        <color theme="1"/>
        <rFont val="Calibri"/>
        <family val="2"/>
        <charset val="1"/>
      </rPr>
      <t>mixed</t>
    </r>
  </si>
  <si>
    <t>millions FCFA → ×1e6</t>
  </si>
  <si>
    <t>Principaux indicateurs des SFD de l'UMOA au 30/09/2025</t>
  </si>
  <si>
    <t>BJ Encours des crédits ≈ 246,984.3 (millions FCFA)</t>
  </si>
  <si>
    <t>法语official；本地PDF verified验表结构（sample量&gt;90%行业）</t>
  </si>
  <si>
    <t>BF Encours des crédits ≈ 428,265.5 (millions FCFA)</t>
  </si>
  <si>
    <t>CI Encours des crédits ≈ 721,221.6 (millions FCFA)</t>
  </si>
  <si>
    <t>ML Encours des crédits ≈ 203,501.2 (millions FCFA)</t>
  </si>
  <si>
    <t>SN Encours des crédits ≈ 805,217.3 (millions FCFA)</t>
  </si>
  <si>
    <t>billion TZS</t>
  </si>
  <si>
    <t>outstanding loans … Tier 2 MSPs … TZS 1,377.46 billion</t>
  </si>
  <si>
    <t>billion RWF</t>
  </si>
  <si>
    <t>Outstanding loans for the Microfinance sector … FRW 611.6 billion</t>
  </si>
  <si>
    <t>含SACCO等</t>
  </si>
  <si>
    <t>billion ZiG</t>
  </si>
  <si>
    <t>Quarterly Microfinance Industry Report 31 Dec 2025</t>
  </si>
  <si>
    <t>Total Loans … Dec-2025 | 7.19bn ZiG</t>
  </si>
  <si>
    <r>
      <rPr>
        <sz val="11"/>
        <color theme="1"/>
        <rFont val="Calibri"/>
        <family val="2"/>
        <charset val="1"/>
      </rPr>
      <t>ZiG</t>
    </r>
    <r>
      <rPr>
        <sz val="11"/>
        <color theme="1"/>
        <rFont val="Noto Sans CJK SC"/>
        <family val="2"/>
      </rPr>
      <t>汇率</t>
    </r>
    <r>
      <rPr>
        <sz val="11"/>
        <color theme="1"/>
        <rFont val="Calibri"/>
        <family val="2"/>
        <charset val="1"/>
      </rPr>
      <t>indicative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local currency is authoritative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R2: ZiG7.19bn re-verified — extracted directly from cited RBZ Dec-2025 report (4.52 credit-only + 2.66 deposit-taking)</t>
    </r>
  </si>
  <si>
    <t>millions FCFA</t>
  </si>
  <si>
    <t>COBAC/BEAC</t>
  </si>
  <si>
    <t>Rapport Annuel COBAC 2024</t>
  </si>
  <si>
    <t>Cameroun 2024 … 659 411 (millions de FCFA)</t>
  </si>
  <si>
    <t>Gabon 2024 … 112 302</t>
  </si>
  <si>
    <t>billion Birr</t>
  </si>
  <si>
    <t>NBE</t>
  </si>
  <si>
    <t>Gross loans … 48.9 (Billions of Birr)</t>
  </si>
  <si>
    <r>
      <rPr>
        <sz val="11"/>
        <color theme="1"/>
        <rFont val="Calibri"/>
        <family val="2"/>
        <charset val="1"/>
      </rPr>
      <t>NBE FSR</t>
    </r>
    <r>
      <rPr>
        <sz val="11"/>
        <color theme="1"/>
        <rFont val="Noto Sans CJK SC"/>
        <family val="2"/>
      </rPr>
      <t>转载</t>
    </r>
    <r>
      <rPr>
        <sz val="11"/>
        <color theme="1"/>
        <rFont val="Calibri"/>
        <family val="2"/>
        <charset val="1"/>
      </rPr>
      <t>PDF</t>
    </r>
  </si>
  <si>
    <t>BWP million</t>
  </si>
  <si>
    <t>NBFIRA Annual Report 2024</t>
  </si>
  <si>
    <t>Loan Book Values … 8,761 (2023)</t>
  </si>
  <si>
    <t>基于报送sample；2026-08-11: replaced garbled assets figure with BoB survey P8.5bn (Dec-2024)</t>
  </si>
  <si>
    <t>billion NAD</t>
  </si>
  <si>
    <r>
      <rPr>
        <sz val="11"/>
        <color theme="1"/>
        <rFont val="Calibri"/>
        <family val="2"/>
        <charset val="1"/>
      </rPr>
      <t>NAMFISA</t>
    </r>
    <r>
      <rPr>
        <sz val="11"/>
        <color theme="1"/>
        <rFont val="Noto Sans CJK SC"/>
        <family val="2"/>
      </rPr>
      <t>（媒体转引）</t>
    </r>
  </si>
  <si>
    <t>Q4 2025 microlending book (The Brief)</t>
  </si>
  <si>
    <t>semi_official</t>
  </si>
  <si>
    <t>microlending loan book … N$7.5 billion … Q4 2025</t>
  </si>
  <si>
    <r>
      <rPr>
        <sz val="11"/>
        <color theme="1"/>
        <rFont val="Calibri"/>
        <family val="2"/>
        <charset val="1"/>
      </rPr>
      <t>cited viaNAMFISA</t>
    </r>
    <r>
      <rPr>
        <sz val="11"/>
        <color theme="1"/>
        <rFont val="Noto Sans CJK SC"/>
        <family val="2"/>
      </rPr>
      <t>公报</t>
    </r>
  </si>
  <si>
    <t>Rs million</t>
  </si>
  <si>
    <t>Monthly Statistical Bulletin Dec 2025</t>
  </si>
  <si>
    <t>NBDTIs … Households … 59,189 (Rs million)</t>
  </si>
  <si>
    <t>含住房</t>
  </si>
  <si>
    <t>mil milhões AOA</t>
  </si>
  <si>
    <t>BNA DSN</t>
  </si>
  <si>
    <t>Sector Financeiro Não Bancário – Visão… (DSN)</t>
  </si>
  <si>
    <t>microcrédito concedido pelas SMC … 26,53 mil milhões de Kwanzas</t>
  </si>
  <si>
    <t>葡语official演示材料</t>
  </si>
  <si>
    <t>milhões MZN</t>
  </si>
  <si>
    <r>
      <rPr>
        <sz val="11"/>
        <color theme="1"/>
        <rFont val="Calibri"/>
        <family val="2"/>
        <charset val="1"/>
      </rPr>
      <t>BdM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Lusa/Observador</t>
    </r>
    <r>
      <rPr>
        <sz val="11"/>
        <color theme="1"/>
        <rFont val="Noto Sans CJK SC"/>
        <family val="2"/>
      </rPr>
      <t>转引）</t>
    </r>
  </si>
  <si>
    <t>Stock do crédito … dados BdM</t>
  </si>
  <si>
    <t>crédito a particulares … 92.175 milhões de meticais</t>
  </si>
  <si>
    <t>银行体系personal贷</t>
  </si>
  <si>
    <t>UGX absolute</t>
  </si>
  <si>
    <t>AMFIU</t>
  </si>
  <si>
    <t>PMT Quarterly Performance Report Q1 2025</t>
  </si>
  <si>
    <t>MFIs 724,467,043,047 outstanding portfolio</t>
  </si>
  <si>
    <t>行业associationsample</t>
  </si>
  <si>
    <t>GHS million</t>
  </si>
  <si>
    <t>GHASALC</t>
  </si>
  <si>
    <t>15th AGM sector performance</t>
  </si>
  <si>
    <t>net loans … GH₵5,654.15 million</t>
  </si>
  <si>
    <r>
      <rPr>
        <sz val="11"/>
        <color theme="1"/>
        <rFont val="Calibri"/>
        <family val="2"/>
        <charset val="1"/>
      </rPr>
      <t>association</t>
    </r>
    <r>
      <rPr>
        <sz val="11"/>
        <color theme="1"/>
        <rFont val="Noto Sans CJK SC"/>
        <family val="2"/>
      </rPr>
      <t>披露</t>
    </r>
  </si>
  <si>
    <t>≥142 nghìn tỷ đồng</t>
  </si>
  <si>
    <r>
      <rPr>
        <sz val="11"/>
        <color theme="1"/>
        <rFont val="Calibri"/>
        <family val="2"/>
        <charset val="1"/>
      </rPr>
      <t>NHNN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DIV</t>
    </r>
    <r>
      <rPr>
        <sz val="11"/>
        <color theme="1"/>
        <rFont val="Noto Sans CJK SC"/>
        <family val="2"/>
      </rPr>
      <t>转载）</t>
    </r>
  </si>
  <si>
    <t>Đa dạng hóa … cho vay tiêu dùng</t>
  </si>
  <si>
    <t>dư nợ … 16 công ty tài chính đạt trên 142 nghìn tỷ đồng</t>
  </si>
  <si>
    <t>越语official转载；“trên”为下限</t>
  </si>
  <si>
    <t>System-wide living-purpose loans</t>
  </si>
  <si>
    <t>Dư nợ PVNCĐS toàn hệ thống</t>
  </si>
  <si>
    <t>≥3.1 triệu tỷ đồng</t>
  </si>
  <si>
    <t>2024-09-30</t>
  </si>
  <si>
    <r>
      <rPr>
        <sz val="11"/>
        <color theme="1"/>
        <rFont val="Calibri"/>
        <family val="2"/>
        <charset val="1"/>
      </rPr>
      <t>NHNN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DIV</t>
    </r>
    <r>
      <rPr>
        <sz val="11"/>
        <color theme="1"/>
        <rFont val="Noto Sans CJK SC"/>
        <family val="2"/>
      </rPr>
      <t>）</t>
    </r>
  </si>
  <si>
    <t>tổng dư nợ PVNCĐS đạt trên 3,1 triệu tỷ đồng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</si>
  <si>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；推荐用金融公司</t>
    </r>
    <r>
      <rPr>
        <sz val="11"/>
        <color theme="1"/>
        <rFont val="Calibri"/>
        <family val="2"/>
        <charset val="1"/>
      </rPr>
      <t>142</t>
    </r>
    <r>
      <rPr>
        <sz val="11"/>
        <color theme="1"/>
        <rFont val="Noto Sans CJK SC"/>
        <family val="2"/>
      </rPr>
      <t>千亿</t>
    </r>
  </si>
  <si>
    <t>孟加拉国</t>
  </si>
  <si>
    <t>BDT crore → ×1e7</t>
  </si>
  <si>
    <t>Quarterly Report on CMSME Financing Jan-Mar 2026</t>
  </si>
  <si>
    <t>Finance Companies 56,553.19 (crore) total loans column</t>
  </si>
  <si>
    <r>
      <rPr>
        <sz val="11"/>
        <color theme="1"/>
        <rFont val="Calibri"/>
        <family val="2"/>
        <charset val="1"/>
      </rPr>
      <t>BBofficial</t>
    </r>
    <r>
      <rPr>
        <sz val="11"/>
        <color theme="1"/>
        <rFont val="Noto Sans CJK SC"/>
        <family val="2"/>
      </rPr>
      <t>季报；另有</t>
    </r>
    <r>
      <rPr>
        <sz val="11"/>
        <color theme="1"/>
        <rFont val="Calibri"/>
        <family val="2"/>
        <charset val="1"/>
      </rPr>
      <t>media</t>
    </r>
    <r>
      <rPr>
        <sz val="11"/>
        <color theme="1"/>
        <rFont val="Noto Sans CJK SC"/>
        <family val="2"/>
      </rPr>
      <t>引</t>
    </r>
    <r>
      <rPr>
        <sz val="11"/>
        <color theme="1"/>
        <rFont val="Calibri"/>
        <family val="2"/>
        <charset val="1"/>
      </rPr>
      <t>NBFC 78,424.77 crore</t>
    </r>
  </si>
  <si>
    <t>Microcredit outstanding (Grameen + 10 large MFIs)</t>
  </si>
  <si>
    <t>Microcredit outstanding — Grameen + 10 large MFIs</t>
  </si>
  <si>
    <t>BDT crore</t>
  </si>
  <si>
    <t>2026-05-31</t>
  </si>
  <si>
    <t>Monthly Report on Agricultural &amp; Rural Financing May 2026</t>
  </si>
  <si>
    <t>https://www.bb.org.bd/pub/monthly/agri_rural_financing/agri_may26.pdf</t>
  </si>
  <si>
    <t>outstanding microcredit balance … BDT 135,445.96 crore</t>
  </si>
  <si>
    <t>非全量MRA宇宙</t>
  </si>
  <si>
    <t>Rs billion</t>
  </si>
  <si>
    <t>Financial Soundness Indicators 2026 Q1</t>
  </si>
  <si>
    <t>Loans &amp; Advances (Net) … 2,450.3 (2026 Q1)</t>
  </si>
  <si>
    <t>蒙古</t>
  </si>
  <si>
    <t>тэрбум төгрөг</t>
  </si>
  <si>
    <t>Санхүүгийн салбарын тойм 2025</t>
  </si>
  <si>
    <t>Нийт зээл 7,216.3</t>
  </si>
  <si>
    <t>蒙古语official</t>
  </si>
  <si>
    <t>млрд сўм</t>
  </si>
  <si>
    <t>CBU</t>
  </si>
  <si>
    <t>Микромолия ташкилотларининг муаммоли кредитлари</t>
  </si>
  <si>
    <t>Жами (132 та ММТ) | кредит қолдиғи 10 838,4</t>
  </si>
  <si>
    <t>乌兹别克语官网表</t>
  </si>
  <si>
    <t>млрд сомони</t>
  </si>
  <si>
    <t>Натиҷаҳои фаъолияти низоми бонкӣ дар соли 2025</t>
  </si>
  <si>
    <t>Общий остаток кредитного портфеля … 26,1 млрд сомони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</si>
  <si>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；纯</t>
    </r>
    <r>
      <rPr>
        <sz val="11"/>
        <color theme="1"/>
        <rFont val="Calibri"/>
        <family val="2"/>
        <charset val="1"/>
      </rPr>
      <t>MFI</t>
    </r>
    <r>
      <rPr>
        <sz val="11"/>
        <color theme="1"/>
        <rFont val="Noto Sans CJK SC"/>
        <family val="2"/>
      </rPr>
      <t>贷款余额未见单独绝对数；</t>
    </r>
    <r>
      <rPr>
        <sz val="11"/>
        <color theme="1"/>
        <rFont val="Calibri"/>
        <family val="2"/>
        <charset val="1"/>
      </rPr>
      <t>2026-08-11 verification: USD conv corrected (TJS 9.2)</t>
    </r>
  </si>
  <si>
    <t>billion manats</t>
  </si>
  <si>
    <r>
      <rPr>
        <sz val="11"/>
        <color theme="1"/>
        <rFont val="Calibri"/>
        <family val="2"/>
        <charset val="1"/>
      </rPr>
      <t>CBT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business.com.tm</t>
    </r>
    <r>
      <rPr>
        <sz val="11"/>
        <color theme="1"/>
        <rFont val="Noto Sans CJK SC"/>
        <family val="2"/>
      </rPr>
      <t>转引）</t>
    </r>
  </si>
  <si>
    <t>Outstanding Bank Loans … Near 100.2 Billion Manats</t>
  </si>
  <si>
    <t>loans … citizens and entrepreneurs … 33.650 billion manats</t>
  </si>
  <si>
    <t>银行体系；officialManat汇率敏感</t>
  </si>
  <si>
    <t>S$ billion</t>
  </si>
  <si>
    <r>
      <rPr>
        <sz val="11"/>
        <color theme="1"/>
        <rFont val="Calibri"/>
        <family val="2"/>
        <charset val="1"/>
      </rPr>
      <t>SingStat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BT</t>
    </r>
    <r>
      <rPr>
        <sz val="11"/>
        <color theme="1"/>
        <rFont val="Noto Sans CJK SC"/>
        <family val="2"/>
      </rPr>
      <t>转引）</t>
    </r>
  </si>
  <si>
    <t>Singapore households' net wealth…</t>
  </si>
  <si>
    <t>Personal loans … to S$118.6 billion</t>
  </si>
  <si>
    <t>对应official表M700981；含卡/车等</t>
  </si>
  <si>
    <t>billones COP (=10^12)</t>
  </si>
  <si>
    <r>
      <rPr>
        <sz val="11"/>
        <color theme="1"/>
        <rFont val="Calibri"/>
        <family val="2"/>
        <charset val="1"/>
      </rPr>
      <t>SFC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El País</t>
    </r>
    <r>
      <rPr>
        <sz val="11"/>
        <color theme="1"/>
        <rFont val="Noto Sans CJK SC"/>
        <family val="2"/>
      </rPr>
      <t>转引）</t>
    </r>
  </si>
  <si>
    <t>Estas son las deudas…</t>
  </si>
  <si>
    <t>cartera de consumo sumó $221,7 billones</t>
  </si>
  <si>
    <r>
      <rPr>
        <sz val="11"/>
        <color theme="1"/>
        <rFont val="Calibri"/>
        <family val="2"/>
        <charset val="1"/>
      </rPr>
      <t>includes banks+finance companies</t>
    </r>
    <r>
      <rPr>
        <sz val="11"/>
        <color theme="1"/>
        <rFont val="Noto Sans CJK SC"/>
        <family val="2"/>
      </rPr>
      <t>等</t>
    </r>
    <r>
      <rPr>
        <sz val="11"/>
        <color theme="1"/>
        <rFont val="Calibri"/>
        <family val="2"/>
        <charset val="1"/>
      </rPr>
      <t>EC</t>
    </r>
  </si>
  <si>
    <t>thousand dinars → native</t>
  </si>
  <si>
    <t>LEASING COMPANIES MONTHLY STATEMENT</t>
  </si>
  <si>
    <t>Leasing transactions Jan 2026 = 4,469,515 (thousand dinars)</t>
  </si>
  <si>
    <t>Other consumer credit (commercial banks)</t>
  </si>
  <si>
    <t>Autres crédits à la consommation (banques)</t>
  </si>
  <si>
    <t>billion TND</t>
  </si>
  <si>
    <r>
      <rPr>
        <sz val="11"/>
        <color theme="1"/>
        <rFont val="Calibri"/>
        <family val="2"/>
        <charset val="1"/>
      </rPr>
      <t>BCT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La Presse</t>
    </r>
    <r>
      <rPr>
        <sz val="11"/>
        <color theme="1"/>
        <rFont val="Noto Sans CJK SC"/>
        <family val="2"/>
      </rPr>
      <t>转引）</t>
    </r>
  </si>
  <si>
    <t>Les banques tunisiennes resserrent…</t>
  </si>
  <si>
    <t>https://www.lapresse.tn/2026/05/29/les-banques-tunisiennes-resserrent-lacces-au-credit-pour-les-particuliers/</t>
  </si>
  <si>
    <t>autres crédits à la consommation … 5,389 milliards de dinars</t>
  </si>
  <si>
    <t>USD as reported by AGBI from CBO</t>
  </si>
  <si>
    <r>
      <rPr>
        <sz val="11"/>
        <color theme="1"/>
        <rFont val="Calibri"/>
        <family val="2"/>
        <charset val="1"/>
      </rPr>
      <t>CBO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AGBI</t>
    </r>
    <r>
      <rPr>
        <sz val="11"/>
        <color theme="1"/>
        <rFont val="Noto Sans CJK SC"/>
        <family val="2"/>
      </rPr>
      <t>转引）</t>
    </r>
  </si>
  <si>
    <t>Personal loans lift Oman bank lending to $90bn</t>
  </si>
  <si>
    <t>personal loans … to $32.2 billion</t>
  </si>
  <si>
    <t>美元转述；非finance companies拆分</t>
  </si>
  <si>
    <t>million JOD</t>
  </si>
  <si>
    <r>
      <rPr>
        <sz val="11"/>
        <color theme="1"/>
        <rFont val="Calibri"/>
        <family val="2"/>
        <charset val="1"/>
      </rPr>
      <t>Tanmeyah</t>
    </r>
    <r>
      <rPr>
        <sz val="11"/>
        <color theme="1"/>
        <rFont val="Noto Sans CJK SC"/>
        <family val="2"/>
      </rPr>
      <t>网络</t>
    </r>
  </si>
  <si>
    <t>ملخص تقرير شبكة تنمية Q4 2025</t>
  </si>
  <si>
    <t>محفظة القروض القائمة … 257.5 مليون دينار</t>
  </si>
  <si>
    <t>阿拉伯语association报告</t>
  </si>
  <si>
    <t>Bank personal loans (narrow)</t>
  </si>
  <si>
    <t>Personal loans</t>
  </si>
  <si>
    <t>billion JOD</t>
  </si>
  <si>
    <r>
      <rPr>
        <sz val="11"/>
        <color theme="1"/>
        <rFont val="Calibri"/>
        <family val="2"/>
        <charset val="1"/>
      </rPr>
      <t>CBJ</t>
    </r>
    <r>
      <rPr>
        <sz val="11"/>
        <color theme="1"/>
        <rFont val="Noto Sans CJK SC"/>
        <family val="2"/>
      </rPr>
      <t>（媒体转引）</t>
    </r>
  </si>
  <si>
    <t>Personal Loans Declined … Q4 2025</t>
  </si>
  <si>
    <t>https://www.jordannews.jo/Section-113/All/Personal-Loans-Declined-by-the-End-of-the-Final-Quarter-of-2025-52923</t>
  </si>
  <si>
    <t>Personal loans … JOD 4.450 billion</t>
  </si>
  <si>
    <t>млрд сомов</t>
  </si>
  <si>
    <r>
      <rPr>
        <sz val="11"/>
        <color theme="1"/>
        <rFont val="Calibri"/>
        <family val="2"/>
        <charset val="1"/>
      </rPr>
      <t>НБКР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24.kg</t>
    </r>
    <r>
      <rPr>
        <sz val="11"/>
        <color theme="1"/>
        <rFont val="Noto Sans CJK SC"/>
        <family val="2"/>
      </rPr>
      <t>转引）</t>
    </r>
  </si>
  <si>
    <t>Активы МФО достигли 71,2 млрд сомов</t>
  </si>
  <si>
    <t>кредитный портфель МФО достиг 57,6 миллиарда сомов … на 30 сентября 2025</t>
  </si>
  <si>
    <t>俄语mediacited viacentral bank；另有FSR 2025H1 NFKO 54.4bn</t>
  </si>
  <si>
    <t>NFKO loan portfolio</t>
  </si>
  <si>
    <t>НБКР</t>
  </si>
  <si>
    <t>Отчет о стабильности финансового сектора I пол. 2025</t>
  </si>
  <si>
    <t>https://www.nbkr.kg/DOC/31122025/000000000066468.pdf</t>
  </si>
  <si>
    <t>кредитный портфель НФКО … 54,4 млрд сомов</t>
  </si>
  <si>
    <t>officialFSR</t>
  </si>
  <si>
    <t>million LYD</t>
  </si>
  <si>
    <t>Central Bank of Libya</t>
  </si>
  <si>
    <t>Main Financial Data and Indicators of Libyan Banks 2025</t>
  </si>
  <si>
    <t>Murabaha Loans to Individuals … 17,108.0</t>
  </si>
  <si>
    <t>银行对personal穆拉巴哈；2026-08-11 verification: USD conv corrected (LYD 5.5677)</t>
  </si>
  <si>
    <t>مليار ريال</t>
  </si>
  <si>
    <r>
      <rPr>
        <sz val="11"/>
        <color theme="1"/>
        <rFont val="Calibri"/>
        <family val="2"/>
        <charset val="1"/>
      </rPr>
      <t>QCB/</t>
    </r>
    <r>
      <rPr>
        <sz val="11"/>
        <color theme="1"/>
        <rFont val="Noto Sans CJK SC"/>
        <family val="2"/>
      </rPr>
      <t>银行并表（阿拉伯语媒体转引）</t>
    </r>
  </si>
  <si>
    <t>القروض الشخصية في قطر … 114.7 مليار</t>
  </si>
  <si>
    <t>القروض الشخصية … 114.7 مليار ريال … 64.2% من القروض الاستهلاكية 178.7 مليار</t>
  </si>
  <si>
    <t>USD billion</t>
  </si>
  <si>
    <r>
      <rPr>
        <sz val="11"/>
        <color theme="1"/>
        <rFont val="Calibri"/>
        <family val="2"/>
        <charset val="1"/>
      </rPr>
      <t>PMA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Al-Quds</t>
    </r>
    <r>
      <rPr>
        <sz val="11"/>
        <color theme="1"/>
        <rFont val="Noto Sans CJK SC"/>
        <family val="2"/>
      </rPr>
      <t>转引</t>
    </r>
    <r>
      <rPr>
        <sz val="11"/>
        <color theme="1"/>
        <rFont val="Calibri"/>
        <family val="2"/>
        <charset val="1"/>
      </rPr>
      <t>FSR</t>
    </r>
    <r>
      <rPr>
        <sz val="11"/>
        <color theme="1"/>
        <rFont val="Noto Sans CJK SC"/>
        <family val="2"/>
      </rPr>
      <t>）</t>
    </r>
  </si>
  <si>
    <t>بين الراتب والقسط…</t>
  </si>
  <si>
    <t>https://alquds.com/ar/posts/237353</t>
  </si>
  <si>
    <t>الإقراض للأسر … قرابة 4.4 مليار دولار</t>
  </si>
  <si>
    <r>
      <rPr>
        <sz val="11"/>
        <color theme="1"/>
        <rFont val="Calibri"/>
        <family val="2"/>
        <charset val="1"/>
      </rPr>
      <t>2026-08-11: ex-mortgage switch applied then REVERTED pending team confirmation on whether mortgages are in TAM scope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senior decision: net of mortgage (gross 4,190,000,000 − mortgage 1,080,000,000); see master cols AE/AF</t>
    </r>
  </si>
  <si>
    <r>
      <rPr>
        <sz val="11"/>
        <color theme="1"/>
        <rFont val="Calibri"/>
        <family val="2"/>
        <charset val="1"/>
      </rPr>
      <t>IMF FAS / FRED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BoZ</t>
    </r>
    <r>
      <rPr>
        <sz val="11"/>
        <color theme="1"/>
        <rFont val="Noto Sans CJK SC"/>
        <family val="2"/>
      </rPr>
      <t>监管宇宙）</t>
    </r>
  </si>
  <si>
    <t>ZMBFCSODMFXDC</t>
  </si>
  <si>
    <t>2023: 5,100,669,400 National Currency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</si>
  <si>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BoZ</t>
    </r>
    <r>
      <rPr>
        <sz val="11"/>
        <color theme="1"/>
        <rFont val="Noto Sans CJK SC"/>
        <family val="2"/>
      </rPr>
      <t>更新绝对数未取到</t>
    </r>
  </si>
  <si>
    <t>MFI credit outstanding</t>
  </si>
  <si>
    <t>milliards ariary</t>
  </si>
  <si>
    <r>
      <rPr>
        <sz val="11"/>
        <color theme="1"/>
        <rFont val="Calibri"/>
        <family val="2"/>
        <charset val="1"/>
      </rPr>
      <t>CSBF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2424.mg</t>
    </r>
    <r>
      <rPr>
        <sz val="11"/>
        <color theme="1"/>
        <rFont val="Noto Sans CJK SC"/>
        <family val="2"/>
      </rPr>
      <t>转引）</t>
    </r>
  </si>
  <si>
    <t>encours de crédit … 663 milliards d'ariary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</si>
  <si>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R2: adopted IMF FAS MGA769.48bn (2023, deposit-taking MFIs) replacing dead-blog 663bn; usd 0.147→0.171</t>
    </r>
  </si>
  <si>
    <t>USD million</t>
  </si>
  <si>
    <r>
      <rPr>
        <sz val="11"/>
        <color theme="1"/>
        <rFont val="Calibri"/>
        <family val="2"/>
        <charset val="1"/>
      </rPr>
      <t>BCC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Radio Okapi</t>
    </r>
    <r>
      <rPr>
        <sz val="11"/>
        <color theme="1"/>
        <rFont val="Noto Sans CJK SC"/>
        <family val="2"/>
      </rPr>
      <t>转引）</t>
    </r>
  </si>
  <si>
    <t>accroissement des activités de la microfinance…</t>
  </si>
  <si>
    <t>crédits s'établissent à 369 millions USD en 2023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</si>
  <si>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有总资产无信贷拆分</t>
    </r>
  </si>
  <si>
    <t>billion YER</t>
  </si>
  <si>
    <t>Monetary and Financial Developments No.44</t>
  </si>
  <si>
    <t>credit … to the private sector was YER 2,094.5 billion</t>
  </si>
  <si>
    <t>私人部门信贷含企业，not pure personal；official未见家庭拆分；2026-08-11 verification: USD conv corrected (YER 2212.70)</t>
  </si>
  <si>
    <t>Field</t>
  </si>
  <si>
    <t>Meaning</t>
  </si>
  <si>
    <t>Source</t>
  </si>
  <si>
    <t>Notes</t>
  </si>
  <si>
    <t>Developed / Developing·Emerging</t>
  </si>
  <si>
    <t>IMF World Economic Outlook country groups</t>
  </si>
  <si>
    <t>IMF official terms: Advanced vs Emerging market and developing economies; Chinese short labels mapped for filtering</t>
  </si>
  <si>
    <t>Advanced economy / Emerging market and developing economy</t>
  </si>
  <si>
    <t>IMF WEO Statistical Appendix (April 2026)</t>
  </si>
  <si>
    <t>https://www.imf.org/-/media/files/publications/weo/2026/april/english/statsappendix.pdf</t>
  </si>
  <si>
    <t>High / Upper middle / Lower middle / Low income</t>
  </si>
  <si>
    <t>World Bank country API incomeLevel</t>
  </si>
  <si>
    <t>https://api.worldbank.org/v2/country?format=json&amp;per_page=400 ; snapshot under nbfc-evidence/2026-08-10/</t>
  </si>
  <si>
    <t>HIC / UMC / LMC / LIC</t>
  </si>
  <si>
    <t>Same as above</t>
  </si>
  <si>
    <t>World Bank no longer uses a formal developed/developing binary; income quartiles are the primary taxonomy</t>
  </si>
  <si>
    <t>Geographic/operational region</t>
  </si>
  <si>
    <t>World Bank region field</t>
  </si>
  <si>
    <t>e.g. East Asia &amp; Pacific, South Asia</t>
  </si>
  <si>
    <t>Yes / No</t>
  </si>
  <si>
    <t>OECD membership</t>
  </si>
  <si>
    <t>Related to but not identical with IMF Advanced (e.g. Mexico is OECD but IMF EMDE)</t>
  </si>
  <si>
    <t>Composite filter tag</t>
  </si>
  <si>
    <t>This workbook</t>
  </si>
  <si>
    <t>Format: IMF group | WB income | OECD</t>
  </si>
  <si>
    <t>Taiwan (TW)</t>
  </si>
  <si>
    <t>IMF Advanced; WB income blank</t>
  </si>
  <si>
    <t>Special handling</t>
  </si>
  <si>
    <t>World Bank country API has no separate Taiwan economy entry</t>
  </si>
  <si>
    <t>country</t>
  </si>
  <si>
    <t>type</t>
  </si>
  <si>
    <t>verified</t>
  </si>
  <si>
    <t>SA_SAMA_Key_Economic_Developments_Q3_2025.pdf</t>
  </si>
  <si>
    <t>pdf</t>
  </si>
  <si>
    <t>SAMA</t>
  </si>
  <si>
    <t>YES</t>
  </si>
  <si>
    <t>AE_CBUAE_Q4_2025_Monetary.pdf</t>
  </si>
  <si>
    <t>JP_FSA_kasikin_202503.pdf</t>
  </si>
  <si>
    <t>ZA_NCR_CCMR_Q2_2025.pdf</t>
  </si>
  <si>
    <t>MA_BAM_RSF_2025.pdf</t>
  </si>
  <si>
    <t>BAM</t>
  </si>
  <si>
    <t>KE_CMA_FSSR_2025.pdf</t>
  </si>
  <si>
    <t>CMA</t>
  </si>
  <si>
    <t>IL_BOI_Debt_Q3_2025.pdf</t>
  </si>
  <si>
    <t>BoI</t>
  </si>
  <si>
    <t>GB_BoE_Money_Credit_Tables_June_2026.xlsx</t>
  </si>
  <si>
    <t>xlsx</t>
  </si>
  <si>
    <t>BoE</t>
  </si>
  <si>
    <t>YES — 256.333</t>
  </si>
  <si>
    <t>CA_StatCan_36100639.zip</t>
  </si>
  <si>
    <t>csv</t>
  </si>
  <si>
    <t>StatCan</t>
  </si>
  <si>
    <t>YES — 827701</t>
  </si>
  <si>
    <t>Topic</t>
  </si>
  <si>
    <t>Description</t>
  </si>
  <si>
    <t>Workbook date</t>
  </si>
  <si>
    <t>Language</t>
  </si>
  <si>
    <t>English edition of nbfc-loan-book-strict-refresh-2026-08-10.xlsx (Chinese source of truth mirrored)</t>
  </si>
  <si>
    <t>Loan amount priority</t>
  </si>
  <si>
    <t>1) non-bank personal/consumer outstanding → 2) non-bank mixed credit → 3) personal/household total (may include banks)</t>
  </si>
  <si>
    <t>Institution count priority</t>
  </si>
  <si>
    <t>Licensed/registered absolute headcounts from regulators; else association/law firm/Big4 citing absolute counts</t>
  </si>
  <si>
    <t>Quality – official</t>
  </si>
  <si>
    <t>Government / financial regulator PDF, stats portal, official API/register</t>
  </si>
  <si>
    <t>Quality – semi-official</t>
  </si>
  <si>
    <t>Industry association, law firm, Big4/consulting, or regulator figures cited by reputable press</t>
  </si>
  <si>
    <t>Exclusion rule</t>
  </si>
  <si>
    <t>No amount/count without citable URL + quote/table ref; placeholders forbidden</t>
  </si>
  <si>
    <t>USD column</t>
  </si>
  <si>
    <t>Indicative FX conversion only; local-currency figures are authoritative</t>
  </si>
  <si>
    <t>Country classification</t>
  </si>
  <si>
    <t>IMF WEO Advanced/EMDE + World Bank income groups + OECD membership</t>
  </si>
  <si>
    <t>Local-language research</t>
  </si>
  <si>
    <t>French (BCEAO/COBAC), Portuguese, Vietnamese, Arabic, Mongolian, Uzbek, Dutch, Swedish, etc. used for PENDING fill</t>
  </si>
  <si>
    <t>Evidence files</t>
  </si>
  <si>
    <t>web/public/downloads/nbfc-evidence/2026-08-10/</t>
  </si>
  <si>
    <t>check</t>
  </si>
  <si>
    <t>result</t>
  </si>
  <si>
    <t>detail</t>
  </si>
  <si>
    <t>明细均有URL+摘录</t>
  </si>
  <si>
    <t>n=49</t>
  </si>
  <si>
    <t>新增ECB 9国API核验</t>
  </si>
  <si>
    <t>DE/FR/IT/ES/NL/IE/PT/SE/PL 2026-06</t>
  </si>
  <si>
    <r>
      <rPr>
        <sz val="11"/>
        <color theme="1"/>
        <rFont val="Calibri"/>
        <family val="2"/>
        <charset val="1"/>
      </rPr>
      <t>BoE 256.333 xlsx</t>
    </r>
    <r>
      <rPr>
        <sz val="11"/>
        <color theme="1"/>
        <rFont val="Noto Sans CJK SC"/>
        <family val="2"/>
      </rPr>
      <t>核验</t>
    </r>
  </si>
  <si>
    <t>Table B</t>
  </si>
  <si>
    <r>
      <rPr>
        <sz val="11"/>
        <color theme="1"/>
        <rFont val="Calibri"/>
        <family val="2"/>
        <charset val="1"/>
      </rPr>
      <t>StatCan 827701 csv</t>
    </r>
    <r>
      <rPr>
        <sz val="11"/>
        <color theme="1"/>
        <rFont val="Noto Sans CJK SC"/>
        <family val="2"/>
      </rPr>
      <t>核验</t>
    </r>
  </si>
  <si>
    <t>2026-05 raw non-mortgage</t>
  </si>
  <si>
    <r>
      <rPr>
        <sz val="11"/>
        <color theme="1"/>
        <rFont val="Calibri"/>
        <family val="2"/>
        <charset val="1"/>
      </rPr>
      <t>G.20 Consumer 924</t>
    </r>
    <r>
      <rPr>
        <sz val="11"/>
        <color theme="1"/>
        <rFont val="Noto Sans CJK SC"/>
        <family val="2"/>
      </rPr>
      <t>核验</t>
    </r>
  </si>
  <si>
    <t>覆盖</t>
  </si>
  <si>
    <t>VERIFIED=41 PENDING=43 detail=49 new_rows=15</t>
  </si>
  <si>
    <t>机构数量 VERIFIED=46 PENDING=38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</si>
  <si>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行</t>
    </r>
    <r>
      <rPr>
        <sz val="11"/>
        <color theme="1"/>
        <rFont val="Calibri"/>
        <family val="2"/>
        <charset val="1"/>
      </rPr>
      <t>53 semi7</t>
    </r>
  </si>
  <si>
    <t>机构数量每条有URL+摘录</t>
  </si>
  <si>
    <t>bad=0</t>
  </si>
  <si>
    <r>
      <rPr>
        <sz val="11"/>
        <color theme="1"/>
        <rFont val="Calibri"/>
        <family val="2"/>
        <charset val="1"/>
      </rPr>
      <t>local-language research</t>
    </r>
    <r>
      <rPr>
        <sz val="11"/>
        <color theme="1"/>
        <rFont val="Noto Sans CJK SC"/>
        <family val="2"/>
      </rPr>
      <t xml:space="preserve">后机构 </t>
    </r>
    <r>
      <rPr>
        <sz val="11"/>
        <color theme="1"/>
        <rFont val="Calibri"/>
        <family val="2"/>
        <charset val="1"/>
      </rPr>
      <t>VERIFIED=79 PENDING=5</t>
    </r>
  </si>
  <si>
    <t>detail_rows=101</t>
  </si>
  <si>
    <t>阿拉伯语补检后机构 VERIFIED=81 PENDING=3</t>
  </si>
  <si>
    <r>
      <rPr>
        <sz val="11"/>
        <color theme="1"/>
        <rFont val="Calibri"/>
        <family val="2"/>
        <charset val="1"/>
      </rPr>
      <t>IQ</t>
    </r>
    <r>
      <rPr>
        <sz val="11"/>
        <color theme="1"/>
        <rFont val="Noto Sans CJK SC"/>
        <family val="2"/>
      </rPr>
      <t>官网名录</t>
    </r>
    <r>
      <rPr>
        <sz val="11"/>
        <color theme="1"/>
        <rFont val="Calibri"/>
        <family val="2"/>
        <charset val="1"/>
      </rPr>
      <t>+QA OBG</t>
    </r>
  </si>
  <si>
    <t>放贷总量local-language research VERIFIED=71 PENDING=13</t>
  </si>
  <si>
    <t>new_rows≈34</t>
  </si>
  <si>
    <t>放贷总量二轮本地语 VERIFIED=79 PENDING=5</t>
  </si>
  <si>
    <t>DZ,SD,LB,IQ,IR</t>
  </si>
  <si>
    <t>2026-08-11 independent verification (col AC)</t>
  </si>
  <si>
    <t>DONE</t>
  </si>
  <si>
    <t>5 USD conversions corrected (YE,RU,TR,TJ,LY), CA count 12→10, BH inst date; scope &amp; source flags in Country_Master_Loan!AC</t>
  </si>
  <si>
    <t>2026-08-11 R2 follow-up verification</t>
  </si>
  <si>
    <t>NG 829→785, EG 28→48, US 13000→5346(est), MG loan re-sourced to IMF FAS; ZW verified OK; CA/SG/GB/MU/MY loan values corroborated; PH count &amp; BW row still open</t>
  </si>
  <si>
    <t>2026-08-11 current-FX column</t>
  </si>
  <si>
    <t>Col AD added: single-date FX (2026-08-10 rates). Total 6,609 usd_bn vs 6,547 at as-of FX</t>
  </si>
  <si>
    <t>2026-08-11 decisions applied</t>
  </si>
  <si>
    <t>TM official peg confirmed; BW count→407 (NBFIRA T2.1); PH loan→BSP official excl-RREL 2,781.5bn PHP (Jun-2026)</t>
  </si>
  <si>
    <t>2026-08-11 ex-mortgage sweep</t>
  </si>
  <si>
    <t>KR 687.2tn, TW 2,031bn, PK ~799bn (derived), PS 3.11bn, BH 3.01bn switched to ex-housing; TR &amp; QA confirmed already ex-housing; OM includes housing, no split available</t>
  </si>
  <si>
    <t>2026-08-11 ex-mortgage sweep reverted</t>
  </si>
  <si>
    <t>PENDING TEAM DECISION</t>
  </si>
  <si>
    <t>PH/KR/TW/PK/BH/PS all restored to original figures; ex-mortgage alternatives documented in-row, ready to re-apply</t>
  </si>
  <si>
    <t>2026-08-11 senior decision applied</t>
  </si>
  <si>
    <t>Mixed bank+NBFC accepted where no pure NBFC; mortgages deducted with gross (AE) − mortgage (AF) = net (G, live formula) for PH/KR/TW/PK/BH/PS; OM flagged (no split available)</t>
  </si>
  <si>
    <t>2026-08-11 approved refinements</t>
  </si>
  <si>
    <t>PH mortgage exact 1,188bn (net 2,349bn); PK same-series 998−220=778bn; BW loan replaced with BoB survey 8.5bn (Dec-2024); PH count relabelled AMLC-active</t>
  </si>
  <si>
    <t>#</t>
  </si>
  <si>
    <t>date</t>
  </si>
  <si>
    <t>sheet</t>
  </si>
  <si>
    <t>cell</t>
  </si>
  <si>
    <t>field</t>
  </si>
  <si>
    <t>old_value</t>
  </si>
  <si>
    <t>new_value</t>
  </si>
  <si>
    <t>reason / evidence</t>
  </si>
  <si>
    <t>2026-08-11</t>
  </si>
  <si>
    <t>Country_Master_Loan</t>
  </si>
  <si>
    <t>I49</t>
  </si>
  <si>
    <t>FX 250 -&gt; 2,212.70 YER/USD (Jul-2025 parallel avg, published in the row's own cited CBY-Aden report; YER 2,094.5bn also confirmed verbatim there). ~9x overstatement fixed.</t>
  </si>
  <si>
    <t>https://english.cby-ye.com/files/68ef3fd727694.pdf (CBY-Aden monthly report: rate 2,212.70 AND the YER 2,094.5bn figure)</t>
  </si>
  <si>
    <t>I85</t>
  </si>
  <si>
    <t>FX 90 -&gt; 77.52 RUB/USD at as-of 2026-07-01 (exchange-rates.org history). Was ~16% understated.</t>
  </si>
  <si>
    <t>https://www.exchange-rates.org/exchange-rate-history/rub-usd-2026</t>
  </si>
  <si>
    <t>I48</t>
  </si>
  <si>
    <t>FX 40 -&gt; 45.19 TRY/USD at as-of 2026-04-29 (exchange-rates.org history). Was ~13% overstated.</t>
  </si>
  <si>
    <t>https://www.exchange-rates.org/exchange-rate-history/try-usd-2026</t>
  </si>
  <si>
    <t>I25</t>
  </si>
  <si>
    <t>FX 10.9 -&gt; 9.2 TJS/USD (somoni appreciation; XE mid-market 9.22, Aug-2026; NBT /en/ page confirms TJS 26.1bn). Was ~16% understated.</t>
  </si>
  <si>
    <t>https://www.xe.com/currencyconverter/ (USD/TJS 9.22) ; loan figure: https://nbt.tj/en/news/618354/</t>
  </si>
  <si>
    <t>I35</t>
  </si>
  <si>
    <t>FX 4.80 -&gt; 5.5677 LYD/USD (CBL official rate after Apr-2025 devaluation; official rate ~6.36 by Aug-2026, so this is a conservative floor). LYD 17,108.0m confirmed verbatim in cited CBL report. Was ~14% overstated.</t>
  </si>
  <si>
    <t>rate: https://cbl.gov.ly/en/currency-exchange-rates/ + https://libyaobserver.ly/economy/central-bank-libya-devalues-dinar-133 ; loan figure: https://cbl.gov.ly/en/wp-content/uploads/sites/4/2026/04/Main_Financial_Data_and_Indicators_of_the_Libyan_Banks_2025.pdf</t>
  </si>
  <si>
    <t>X72</t>
  </si>
  <si>
    <t>Live OSFI 'who we regulate' register (Aug-2026): 10 entries typed 'Loan Companies', 2 in liquidation (8 active).</t>
  </si>
  <si>
    <t>Z39</t>
  </si>
  <si>
    <t>Cited CBB fact sheet is headed April-2024; the financing-companies count (7) inside it is itself dated Dec-2022.</t>
  </si>
  <si>
    <t>Loan_Book_Detail</t>
  </si>
  <si>
    <t>J27/J48/J76/J87/J93</t>
  </si>
  <si>
    <t>TR/RU/TJ/LY/YE</t>
  </si>
  <si>
    <t>(as rows 1-5 old)</t>
  </si>
  <si>
    <t>(as rows 1-5 new)</t>
  </si>
  <si>
    <t>Mirror of changes 1-5 so sheets stay reconciled; qc_notes updated on each row.</t>
  </si>
  <si>
    <t>(mirrors rows 1-7)</t>
  </si>
  <si>
    <t>Country_Master_Institutions + Institution_Count_Detail</t>
  </si>
  <si>
    <t>F72/G39 + F45/G43</t>
  </si>
  <si>
    <t>Canada/Bahrain</t>
  </si>
  <si>
    <t>count / as_of</t>
  </si>
  <si>
    <t>(as rows 6-7 old)</t>
  </si>
  <si>
    <t>(as rows 6-7 new)</t>
  </si>
  <si>
    <t>Mirror of changes 6-7; notes appended on each row.</t>
  </si>
  <si>
    <t>(mirrors rows 6-7)</t>
  </si>
  <si>
    <t>2026-08-11 R2</t>
  </si>
  <si>
    <t>X19</t>
  </si>
  <si>
    <t>CBN revoked 46 MFB licences effective 01-Jul-2026; remaining total 785 (CBN-attributed press; IMF FAS 813 end-2024 corroborates base). as_of→2026-07-01; source URL swapped from ranked.ng.</t>
  </si>
  <si>
    <t>https://leadership.ng/cbns-revocation-of-46-licences-cuts-microfinance-banks-to-785/ ; CBN notice: https://www.cbn.gov.ng/Out/2026/CCD/CBN%20Revokes%20Licenses%20of%2046%20Micofinance%20Banks.pdf ; baseline: https://fred.stlouisfed.org/series/NGAFCIODMFNUM</t>
  </si>
  <si>
    <t>X31</t>
  </si>
  <si>
    <t>48 active FRA consumer-finance licences at end-2025 per three independent FRA-citing sources; nothing supports 28. as_of→2025-12; source URL updated.</t>
  </si>
  <si>
    <t>https://english.ahram.org.eg/News/569636.aspx ; https://enterpriseam.com/egypt/2026/05/25/whats-behind-egypts-consumer-finance-crackdown/</t>
  </si>
  <si>
    <t>X71</t>
  </si>
  <si>
    <t>13,000 was the Fed census mailing universe. 5,346 = Fed 2010 Census estimated universe of active finance companies (FEDS 2013-13, Table 7) — only published figure; LABEL AS ESTIMATE. as_of→2010.</t>
  </si>
  <si>
    <t>https://www.federalreserve.gov/pubs/feds/2013/201313/201313pap.pdf (Table 7)</t>
  </si>
  <si>
    <t>G65</t>
  </si>
  <si>
    <t>Adopted IMF FAS 'outstanding loans at deposit-taking MFIs' 2023 (FRED MDGFCSODMFXDC, exact) replacing dead news-blog figure; quality→official; metric relabelled.</t>
  </si>
  <si>
    <t>I65</t>
  </si>
  <si>
    <t>Follows G65 change; same 4,500 MGA/USD conversion.</t>
  </si>
  <si>
    <t>mirror sheets</t>
  </si>
  <si>
    <t>CMI/ICD (NG,EG,US) + LBD row 91 (MG)</t>
  </si>
  <si>
    <t>—</t>
  </si>
  <si>
    <t>counts / loan value</t>
  </si>
  <si>
    <t>(as rows 10-14 old)</t>
  </si>
  <si>
    <t>(as rows 10-14 new)</t>
  </si>
  <si>
    <t>Mirrors so all sheets stay reconciled; notes appended on each row.</t>
  </si>
  <si>
    <t>(mirrors rows 10-14)</t>
  </si>
  <si>
    <t>(no change — verification upgrades)</t>
  </si>
  <si>
    <t>AC col, rows 6,7,26,61,62,64,72,73,84</t>
  </si>
  <si>
    <t>ZW,CA,SG,GB,MU,MY,PH,BW,TM</t>
  </si>
  <si>
    <t>ZW ZiG7.19bn now VERIFIED in cited RBZ report; CA loan exact-match confirmed; SG confirmed by derivation; GB corroborated arithmetically; MU/MY series confirmed to exist; PH count still unresolved (manual tally needed); BW flagged as likely garbled total-assets figure; TM parallel-rate flag refreshed (~19.2 TMT/USD).</t>
  </si>
  <si>
    <t>(see AC comments per row)</t>
  </si>
  <si>
    <t>col AD (new)</t>
  </si>
  <si>
    <t>all</t>
  </si>
  <si>
    <t>(new column)</t>
  </si>
  <si>
    <t>Added per Kimderson: every row's outstanding_local converted at ONE current FX date (ER-API 10-Aug-2026; YER = Aden parallel 1,535; TMT = official peg; ZiG 26.60). Column I (as-of-date FX) kept unchanged so both conventions are available — use ONE consistently on the TAM map.</t>
  </si>
  <si>
    <t>https://open.er-api.com/v6/latest/USD ; YER: https://en.almahriah.net/economy/exchange-rates-usd-sar-vs-yer-aug-1-2026</t>
  </si>
  <si>
    <t>row 26 (decision, no value change)</t>
  </si>
  <si>
    <t>FX basis</t>
  </si>
  <si>
    <t>official peg 3.5 kept</t>
  </si>
  <si>
    <t>Team decision (Kimderson): use the official peg for Turkmenistan in both usd columns. Street-rate alternative (~19 TMT/USD → ~$1.75bn) noted in AC for reference only.</t>
  </si>
  <si>
    <t>https://www.hronikatm.com/2026/07/the-dollar-exchange-rate-has-fallen-on-turkmenistans-black-market/ (reference rate)</t>
  </si>
  <si>
    <t>G7, I7</t>
  </si>
  <si>
    <t>outstanding_local / usd_bn</t>
  </si>
  <si>
    <t>3,537,000,000,000 / 60.98</t>
  </si>
  <si>
    <t>2,781,511,000,000 / 47.96</t>
  </si>
  <si>
    <t>Team decision (Kimderson): use consumer loans EXCLUDING residential real estate. Adopted BSP's official excl-RREL series (Jun-2026), which Loan_Book_Detail row 49 already carried and recommended — no estimate needed. Metric, date, and source updated; col AD updated; LBD rows annotated.</t>
  </si>
  <si>
    <t>https://www.bsp.gov.ph/Statistics/Financial%20System%20Accounts/tab24b_pbs.aspx (BSP table 24b: For Consumer Loans = 2,781,511 [PHP millions], excl. residential real estate, Jun-2026)</t>
  </si>
  <si>
    <t>G10, I10</t>
  </si>
  <si>
    <t>Korea</t>
  </si>
  <si>
    <t>1,865,800,000,000,000 / 1352.03</t>
  </si>
  <si>
    <t>687,200,000,000,000 / 497.97</t>
  </si>
  <si>
    <t>Ex-mortgage switch (team decision): BOK 'other loans' 687.2tn = household loans 1,865.8tn minus housing-secured 1,178.6tn (end-Q1-2026, preliminary; components sum exactly).</t>
  </si>
  <si>
    <t>https://www.newspim.com/news/view/20260519000509 (BOK household credit release 2026-05-19: loans 1,865.8 = mortgage 1,178.6 + other 687.2)</t>
  </si>
  <si>
    <t>G11, I11</t>
  </si>
  <si>
    <t>13,843,306,000,000 / 425.95</t>
  </si>
  <si>
    <t>2,030,654,000,000 / 62.48</t>
  </si>
  <si>
    <t>Ex-mortgage switch (team decision): CBC consumer-loans subtotal minus exact house-purchase loans (Jun-2026). House-repair (~31.1bn, ~1.5%) still included — needs manual strip from CBC xls.</t>
  </si>
  <si>
    <t>https://www.cbc.gov.tw/tw/cp-302-192631-480c5-1.html (CBC Jun-2026: house-purchase 11,812,652M); https://ec.ltn.com.tw/article/breakingnews/5516697</t>
  </si>
  <si>
    <t>G13, I13</t>
  </si>
  <si>
    <t>1,024,000,000,000 / 3.69</t>
  </si>
  <si>
    <t>799,332,485,981 / 2.88</t>
  </si>
  <si>
    <t>Ex-mortgage switch (team decision): house-building loans (~21.94% of consumer financing, SBP Apr-2026) stripped. DERIVED — confirm exact Dec-2025 split from SBP's monthly table (bot-blocked).</t>
  </si>
  <si>
    <t>https://bloompakistan.com/auto-loans-drive-pakistan-consumer-financing-to-rs-1-07-trillion/ (SBP Apr-2026: house building 234.76bn of 1,070bn total); exact split: https://www.sbp.org.pk/ecodata/creditloans.pdf</t>
  </si>
  <si>
    <t>G47, I47</t>
  </si>
  <si>
    <t>4,400,000,000 / 4.40</t>
  </si>
  <si>
    <t>3,110,000,000 / 3.11</t>
  </si>
  <si>
    <t>Ex-mortgage switch (team decision): PMA consumer credit excluding real estate (Dec-2025); the old total included mortgage credit (~1.08bn).</t>
  </si>
  <si>
    <t>https://www.theglobaleconomy.com/Palestine/consumer_credit/ (PMA consumer credit excl. real estate: USD 3.11bn, Dec-2025; mortgage credit separate: 1.08bn)</t>
  </si>
  <si>
    <t>G39, I39</t>
  </si>
  <si>
    <t>6,100,000,000 / 16.18</t>
  </si>
  <si>
    <t>3,009,600,000 / 7.98</t>
  </si>
  <si>
    <t>Ex-mortgage switch (team decision): CBB FSR Jun-2025 shows 50.7% of personal loans are property-mortgage-secured (3,093.9M); remainder 3,009.6M adopted. Derived from the official breakdown (CBB publishes no named ex-mortgage series).</t>
  </si>
  <si>
    <t>https://www.cbb.gov.bh/wp-content/uploads/2025/11/Financial-Stability-Report-Sep-2025.pdf (Jun-2025 personal loans 6,103.5M incl. secured-by-property-mortgage 3,093.9M)</t>
  </si>
  <si>
    <t>(no change — housing checks)</t>
  </si>
  <si>
    <t>rows 40,42,48</t>
  </si>
  <si>
    <t>Qatar/Oman/Türkiye</t>
  </si>
  <si>
    <t>Housing-content checks: Türkiye's figure already matches BRSA's ex-housing personal-loans series (housing-inclusive total ~3,188bn); Qatar's series excludes real estate (tracked separately by QCB); Oman INCLUDES housing but no official split exists — noted in AC.</t>
  </si>
  <si>
    <t>https://www.ekonomigazetesi.com/haber/tuketici-kredileri-347-milyar-lira-artti-78339 ; https://www.gulf-times.com/article/729908/business/qatar-commercial-banks-assets-rise-33-to-qr22tn-in-june-qcb ; https://timesofoman.com/article/138794-personal-loans-disbursals-reach-a-new-high-in-oman</t>
  </si>
  <si>
    <t>rows 10,11,13,39(G,I),47</t>
  </si>
  <si>
    <t>KR,TW,PK,BH,PS</t>
  </si>
  <si>
    <t>loan values</t>
  </si>
  <si>
    <t>(ex-mortgage values, see entries 19-23)</t>
  </si>
  <si>
    <t>(original figures restored)</t>
  </si>
  <si>
    <t>REVERTED the ex-mortgage sweep pending team confirmation on whether mortgages are inside the TAM definition. The researched ex-mortgage alternatives stay documented in each row's hover comment and AC — one message re-applies them. Bahrain's Z39 date fix and the Philippines excl-RREL switch (separately approved) remain in place. Totals back to $6,534bn (as-of FX) / $6,597bn (current FX).</t>
  </si>
  <si>
    <t>(see entries 19-23 for the alternatives and sources)</t>
  </si>
  <si>
    <t>loan value</t>
  </si>
  <si>
    <t>3,537,000,000,000 / 60.98 (original restored)</t>
  </si>
  <si>
    <t>REVERTED the excl-RREL switch too, so all six mortgage-related rows (PH, KR, TW, PK, BH, PS) now show original figures pending one team confirmation on whether mortgages are inside the TAM. BSP's excl-RREL alternative stays documented in the row. Totals back to $6,547bn (as-of FX).</t>
  </si>
  <si>
    <t>G7(=AE-AF), I7, AE7, AF7</t>
  </si>
  <si>
    <t>outstanding: mortgage deducted</t>
  </si>
  <si>
    <t>net 2,458,215,000,000 / 42.38</t>
  </si>
  <si>
    <t>Senior decision: deduct mortgage, show working. Gross 3,537,000,000,000 (AE) − mortgage 1,078,785,000,000 (AF) = net, as a live formula in G. mortgage DERIVED: 30.5% RRE share (BSP, Jun-2025) x Q3-2025 total. Official excl-RREL series shows 2,781.5bn at Jun-2026 (newer) — team may prefer it. Confirm exact Q3-2025 RRE from BSP QUBS PDF.</t>
  </si>
  <si>
    <t>gross: https://www.bsp.gov.ph/Media_And_Research/Publications/QUBS-2025-Q3.pdf ; RRE share: https://www.philstar.com/business/2025/11/08/2485531/banks-ramp-consumer-lending-strong-demand ; official excl-RREL alt: https://www.bsp.gov.ph/Statistics/Financial%20System%20Accounts/tab24b_pbs.aspx</t>
  </si>
  <si>
    <t>G10(=AE-AF), I10, AE10, AF10</t>
  </si>
  <si>
    <t>net 687,200,000,000,000 / 497.97</t>
  </si>
  <si>
    <t>Senior decision: deduct mortgage, show working. Gross 1,865,800,000,000,000 (AE) − mortgage 1,178,600,000,000,000 (AF) = net, as a live formula in G. exact BOK split (end-Q1-2026, preliminary): loans 1,865.8tn = mortgage 1,178.6tn + other 687.2tn.</t>
  </si>
  <si>
    <t>https://www.newspim.com/news/view/20260519000509 (BOK household credit release 2026-05-19)</t>
  </si>
  <si>
    <t>G11(=AE-AF), I11, AE11, AF11</t>
  </si>
  <si>
    <t>net 2,030,654,000,000 / 62.48</t>
  </si>
  <si>
    <t>Senior decision: deduct mortgage, show working. Gross 13,843,306,000,000 (AE) − mortgage 11,812,652,000,000 (AF) = net, as a live formula in G. exact CBC house-purchase figure (Jun-2026). House-repair loans (~31bn TWD, ~1.5% of net) still included — strip from CBC xls manually if needed.</t>
  </si>
  <si>
    <t>https://www.cbc.gov.tw/tw/cp-302-192631-480c5-1.html ; https://ec.ltn.com.tw/article/breakingnews/5516697</t>
  </si>
  <si>
    <t>G13(=AE-AF), I13, AE13, AF13</t>
  </si>
  <si>
    <t>net 799,336,000,000 / 2.88</t>
  </si>
  <si>
    <t>Senior decision: deduct mortgage, show working. Gross 1,024,000,000,000 (AE) − mortgage 224,664,000,000 (AF) = net, as a live formula in G. mortgage DERIVED: house-building share 21.94% (SBP, Apr-2026) applied to Dec-2025 total. Confirm exact split from SBP creditloans.pdf.</t>
  </si>
  <si>
    <t>total: SBP; share: https://bloompakistan.com/auto-loans-drive-pakistan-consumer-financing-to-rs-1-07-trillion/ ; exact split: https://www.sbp.org.pk/ecodata/creditloans.pdf</t>
  </si>
  <si>
    <t>G39(=AE-AF), I39, AE39, AF39</t>
  </si>
  <si>
    <t>net 3,009,600,000 / 7.98</t>
  </si>
  <si>
    <t>Senior decision: deduct mortgage, show working. Gross 6,103,500,000 (AE) − mortgage 3,093,900,000 (AF) = net, as a live formula in G. exact CBB FSR breakdown (Jun-2025): personal loans 6,103.5M incl. property-mortgage-secured 3,093.9M.</t>
  </si>
  <si>
    <t>G47(=AE-AF), I47, AE47, AF47</t>
  </si>
  <si>
    <t>net 3,110,000,000 / 3.11</t>
  </si>
  <si>
    <t>Senior decision: deduct mortgage, show working. Gross 4,190,000,000 (AE) − mortgage 1,080,000,000 (AF) = net, as a live formula in G. PMA series (Dec-2025): consumer credit 3.11bn + mortgage credit 1.08bn = 4.19bn household total. (The file's old 4.4bn was the Dec-2024 total.)</t>
  </si>
  <si>
    <t>https://www.theglobaleconomy.com/Palestine/consumer_credit/ ; https://www.theglobaleconomy.com/Palestine/mortgage_credit/</t>
  </si>
  <si>
    <t>col AG (new)</t>
  </si>
  <si>
    <t>Added per Kimderson: each loan series classified as pure non-bank (40) / pure bank (29) / mixed bank+non-bank (10) / n/a pending (5), based on the series' own definition at the cited source. Color-coded: green/blue/yellow. Also: the temporary policy row added earlier to the Methodology sheet was removed on request.</t>
  </si>
  <si>
    <t>(classification basis: each row's cited source; see AC comments)</t>
  </si>
  <si>
    <t>AF7 (G7 recalcs), I7</t>
  </si>
  <si>
    <t>mortgage portion</t>
  </si>
  <si>
    <t xml:space="preserve"> 1,078,785,000,000 (derived)</t>
  </si>
  <si>
    <t>1,188,000,000,000 (exact)</t>
  </si>
  <si>
    <t>Approved by Kimderson: exact BSP RRE at end-Sep-2025 replaces the derived figure (earlier 30.5% share was the credit-card share swapped in press; RRE ~33.9%). Net now 2,349.0bn PHP / $40.50bn. Count description relabelled to 'AMLC registration-active lending &amp; financing companies' (number unchanged, still needs manual tally).</t>
  </si>
  <si>
    <t>RRE: https://www.bworldonline.com/top-stories/2025/12/18/719639/banks-real-estate-exposure-slips/ + https://www.philstar.com/business/2025/12/18/2495110/banks-ease-exposure-real-estate (BSP RE-exposure report, Sep-2025); gross: BSP QUBS Q3-2025</t>
  </si>
  <si>
    <t>AE13, AF13 (G13 recalcs), I13</t>
  </si>
  <si>
    <t>gross &amp; mortgage</t>
  </si>
  <si>
    <t>1,024,000,000,000 / 224,664,000,000 (derived)</t>
  </si>
  <si>
    <t>998,000,000,000 / 220,000,000,000 (exact)</t>
  </si>
  <si>
    <t>Approved by Kimderson: same-month SBP Dec-2025 figures. The file's 1,024bn total is inconsistent with the SBP monthly series (Oct 980→Nov 987→Dec 998→Apr 1,070) — likely a ~Feb-2026 value mislabelled. Net 778bn PKR / $2.80bn.</t>
  </si>
  <si>
    <t>https://www.techjuice.pk/bank-car-financing-surges-35-in-december-2025/ (SBP Dec-2025: total 998bn, house building 220bn); cross-checks: https://mettisglobal.news/Auto-financing-in-Pakistan-rises-to-Rs318bn-in-November-57339</t>
  </si>
  <si>
    <t>G62, I62</t>
  </si>
  <si>
    <t>8,761,000,000 / 0.649</t>
  </si>
  <si>
    <t>8,500,000,000 / 0.608</t>
  </si>
  <si>
    <t>Approved by Kimderson: old figure was NBFIRA's whole-sector TOTAL ASSETS (8.731bn) garbled, not a loan book. Replaced with BoB Household Indebtedness Survey: P8.5bn micro-lender loans to households, Dec-2024 (P6.4bn Dec-2023). Metric relabelled; as-of updated; FX 13.97 BWP/USD (end-2024).</t>
  </si>
  <si>
    <t>https://www.bankofbotswana.bw/sites/default/files/publications/Financial%20Stability%20Report%20October%202025-.pdf (BoB Household Indebtedness Survey: P8.5bn micro-lender loans, Dec-2024); corroborated: https://dailynews.gov.bw/news-detail/88676</t>
  </si>
  <si>
    <t>Notes:</t>
  </si>
  <si>
    <t>Every changed cell also carries an Excel hover comment (author "Verification 2026-08-11") and a row comment in Country_Master_Loan column AC (verification_comments_20260811). Policy: only conversions &gt;10% off a verifiable rate were changed; smaller FX drifts (EUR rows ~6%, IDR/JPY/CNY/SGD 4-7%) are flagged in AC but left unchanged. New usd_bn total: 6,547.3.</t>
  </si>
  <si>
    <t>Data verified as correct, but the citation is weak (press article, mirror copy, or unofficial host)</t>
  </si>
  <si>
    <t>AC</t>
  </si>
  <si>
    <t>Verification comment for every row (the 5 categories above).</t>
  </si>
  <si>
    <t>USD value with every country converted at ONE current FX date (10-Aug-2026). Column I converts each country at its own data date instead. Use one or the other for the map — never mix.</t>
  </si>
  <si>
    <t>Gross outstanding amount INCLUDING mortgage (local currency) — only filled for the 6 rows whose source series contains housing loans (PH, KR, TW, PK, BH, PS). Blue = input from the cited source.</t>
  </si>
  <si>
    <t>AF</t>
  </si>
  <si>
    <t>Mortgage portion (local currency) for those same 6 rows. Blue = input from the cited source.</t>
  </si>
  <si>
    <t>For those 6 rows, the main loan column G is a live formula: G = AE − AF, so the deduction is visible.</t>
  </si>
  <si>
    <t>Lender-type of each loan series: pure non-bank (green) / pure bank (blue) / mixed bank+non-bank (yellow) / n/a pending.</t>
  </si>
  <si>
    <t>The company count (2,748) comes from an official list that blocks automated download — someone needs to open the list in a browser and count the rows to confirm it.</t>
  </si>
  <si>
    <t>A small piece of home-repair loans (~1.5% of the figure) is still inside the net number. The exact amount is in the central bank's Excel file if we want to remove it too.</t>
  </si>
  <si>
    <t>The loan figure includes housing loans, but Oman publishes no breakdown — so nothing could be deducted. Treat this row as slightly overstated.</t>
  </si>
  <si>
    <t>5 empty countries</t>
  </si>
  <si>
    <t>Algeria, Sudan, Lebanon, Iraq and Iran have no usable data — left blank on purpose.</t>
  </si>
  <si>
    <t>For the map</t>
  </si>
  <si>
    <t>Pick ONE USD column (I or AD) and use it for every country. Also consider showing each country's data date, since they range from 2023 to 2026.</t>
  </si>
  <si>
    <t>Verification completed 2026-08-11. This page explains what was done, how to read the added columns, and what remains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</si>
</sst>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6"/>
      <name val="Calibri"/>
      <family val="2"/>
    </font>
    <font>
      <sz val="11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theme="1"/>
      <name val="FreeSans"/>
      <family val="2"/>
    </font>
    <font>
      <sz val="11"/>
      <color theme="1"/>
      <name val="FreeSans"/>
      <family val="2"/>
      <charset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D9E1F2"/>
        <bgColor rgb="FFDDEBF7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6" borderId="0" xfId="0" applyFont="1" applyFill="1"/>
    <xf numFmtId="0" fontId="4" fillId="2" borderId="0" xfId="0" applyFont="1" applyFill="1"/>
    <xf numFmtId="0" fontId="4" fillId="4" borderId="0" xfId="0" applyFont="1" applyFill="1"/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2" fillId="2" borderId="0" xfId="0" applyFont="1" applyFill="1"/>
    <xf numFmtId="0" fontId="2" fillId="8" borderId="0" xfId="0" applyFont="1" applyFill="1"/>
    <xf numFmtId="0" fontId="8" fillId="0" borderId="0" xfId="0" applyFont="1"/>
    <xf numFmtId="0" fontId="0" fillId="6" borderId="1" xfId="0" applyFill="1" applyBorder="1" applyAlignment="1">
      <alignment vertical="top" wrapText="1"/>
    </xf>
    <xf numFmtId="0" fontId="2" fillId="3" borderId="0" xfId="0" applyFont="1" applyFill="1"/>
    <xf numFmtId="0" fontId="0" fillId="4" borderId="1" xfId="0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zoomScaleNormal="100" workbookViewId="0">
      <selection activeCell="B9" sqref="B9"/>
    </sheetView>
  </sheetViews>
  <sheetFormatPr baseColWidth="10" defaultColWidth="8.6640625" defaultRowHeight="15"/>
  <cols>
    <col min="1" max="1" width="26" customWidth="1"/>
    <col min="2" max="2" width="105" customWidth="1"/>
  </cols>
  <sheetData>
    <row r="1" spans="1:2" ht="21">
      <c r="A1" s="36" t="s">
        <v>0</v>
      </c>
      <c r="B1" s="36"/>
    </row>
    <row r="2" spans="1:2">
      <c r="A2" s="35" t="s">
        <v>2203</v>
      </c>
      <c r="B2" s="35"/>
    </row>
    <row r="4" spans="1:2" ht="16">
      <c r="A4" s="33" t="s">
        <v>1</v>
      </c>
    </row>
    <row r="5" spans="1:2" ht="27.75" customHeight="1">
      <c r="A5" s="4" t="s">
        <v>2</v>
      </c>
      <c r="B5" s="2" t="s">
        <v>3</v>
      </c>
    </row>
    <row r="6" spans="1:2" ht="27.75" customHeight="1">
      <c r="A6" s="4" t="s">
        <v>4</v>
      </c>
      <c r="B6" s="2" t="s">
        <v>5</v>
      </c>
    </row>
    <row r="7" spans="1:2" ht="27.75" customHeight="1">
      <c r="A7" s="4" t="s">
        <v>6</v>
      </c>
      <c r="B7" s="2" t="s">
        <v>7</v>
      </c>
    </row>
    <row r="8" spans="1:2" ht="27.75" customHeight="1">
      <c r="A8" s="4" t="s">
        <v>8</v>
      </c>
      <c r="B8" s="2" t="s">
        <v>9</v>
      </c>
    </row>
    <row r="9" spans="1:2" ht="32">
      <c r="A9" s="4" t="s">
        <v>10</v>
      </c>
      <c r="B9" s="2" t="s">
        <v>11</v>
      </c>
    </row>
    <row r="10" spans="1:2" ht="27.75" customHeight="1">
      <c r="A10" s="4" t="s">
        <v>12</v>
      </c>
      <c r="B10" s="2" t="s">
        <v>13</v>
      </c>
    </row>
    <row r="12" spans="1:2" ht="16">
      <c r="A12" s="33" t="s">
        <v>14</v>
      </c>
    </row>
    <row r="13" spans="1:2" ht="15" customHeight="1">
      <c r="A13" s="5" t="s">
        <v>15</v>
      </c>
      <c r="B13" s="6" t="s">
        <v>16</v>
      </c>
    </row>
    <row r="14" spans="1:2" ht="16">
      <c r="A14" s="7" t="s">
        <v>17</v>
      </c>
      <c r="B14" s="8" t="s">
        <v>2187</v>
      </c>
    </row>
    <row r="15" spans="1:2" ht="27.75" customHeight="1">
      <c r="A15" s="7" t="s">
        <v>18</v>
      </c>
      <c r="B15" s="8" t="s">
        <v>19</v>
      </c>
    </row>
    <row r="16" spans="1:2" ht="27.75" customHeight="1">
      <c r="A16" s="9" t="s">
        <v>20</v>
      </c>
      <c r="B16" s="10" t="s">
        <v>21</v>
      </c>
    </row>
    <row r="17" spans="1:2" ht="15" customHeight="1">
      <c r="A17" s="4" t="s">
        <v>22</v>
      </c>
      <c r="B17" s="2" t="s">
        <v>23</v>
      </c>
    </row>
    <row r="19" spans="1:2" ht="15" customHeight="1">
      <c r="A19" s="3" t="s">
        <v>24</v>
      </c>
    </row>
    <row r="20" spans="1:2" ht="16">
      <c r="A20" s="4" t="s">
        <v>2188</v>
      </c>
      <c r="B20" s="2" t="s">
        <v>2189</v>
      </c>
    </row>
    <row r="21" spans="1:2" ht="15" customHeight="1">
      <c r="A21" s="4" t="s">
        <v>25</v>
      </c>
      <c r="B21" s="2" t="s">
        <v>2190</v>
      </c>
    </row>
    <row r="22" spans="1:2" ht="32">
      <c r="A22" s="4" t="s">
        <v>509</v>
      </c>
      <c r="B22" s="2" t="s">
        <v>2191</v>
      </c>
    </row>
    <row r="23" spans="1:2" ht="16">
      <c r="A23" s="4" t="s">
        <v>2192</v>
      </c>
      <c r="B23" s="2" t="s">
        <v>2193</v>
      </c>
    </row>
    <row r="24" spans="1:2" ht="16">
      <c r="A24" s="2"/>
      <c r="B24" s="2" t="s">
        <v>2194</v>
      </c>
    </row>
    <row r="25" spans="1:2" ht="15" customHeight="1">
      <c r="A25" s="4" t="s">
        <v>26</v>
      </c>
      <c r="B25" s="2" t="s">
        <v>2195</v>
      </c>
    </row>
    <row r="27" spans="1:2" ht="15" customHeight="1">
      <c r="A27" s="3" t="s">
        <v>27</v>
      </c>
    </row>
    <row r="28" spans="1:2" ht="27.75" customHeight="1">
      <c r="A28" s="4" t="s">
        <v>28</v>
      </c>
      <c r="B28" s="2" t="s">
        <v>29</v>
      </c>
    </row>
    <row r="29" spans="1:2" ht="15" customHeight="1">
      <c r="A29" s="4" t="s">
        <v>30</v>
      </c>
      <c r="B29" s="2" t="s">
        <v>31</v>
      </c>
    </row>
    <row r="30" spans="1:2" ht="15" customHeight="1">
      <c r="A30" s="4" t="s">
        <v>32</v>
      </c>
      <c r="B30" s="2" t="s">
        <v>33</v>
      </c>
    </row>
    <row r="32" spans="1:2" ht="15" customHeight="1">
      <c r="A32" s="3" t="s">
        <v>34</v>
      </c>
    </row>
    <row r="33" spans="1:2" ht="27.75" customHeight="1">
      <c r="A33" s="4" t="s">
        <v>35</v>
      </c>
      <c r="B33" s="2" t="s">
        <v>2196</v>
      </c>
    </row>
    <row r="34" spans="1:2" ht="15" customHeight="1">
      <c r="A34" s="4" t="s">
        <v>37</v>
      </c>
      <c r="B34" s="2" t="s">
        <v>2197</v>
      </c>
    </row>
    <row r="35" spans="1:2" ht="15" customHeight="1">
      <c r="A35" s="4" t="s">
        <v>38</v>
      </c>
      <c r="B35" s="2" t="s">
        <v>2198</v>
      </c>
    </row>
    <row r="36" spans="1:2" ht="15" customHeight="1">
      <c r="A36" s="4" t="s">
        <v>2199</v>
      </c>
      <c r="B36" s="2" t="s">
        <v>2200</v>
      </c>
    </row>
    <row r="37" spans="1:2" ht="15" customHeight="1">
      <c r="A37" s="4" t="s">
        <v>2201</v>
      </c>
      <c r="B37" s="2" t="s">
        <v>2202</v>
      </c>
    </row>
  </sheetData>
  <mergeCells count="2"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5"/>
  <sheetViews>
    <sheetView tabSelected="1" zoomScaleNormal="100" workbookViewId="0">
      <pane xSplit="2" ySplit="1" topLeftCell="K12" activePane="bottomRight" state="frozen"/>
      <selection activeCell="B9" sqref="B9"/>
      <selection pane="topRight" activeCell="B9" sqref="B9"/>
      <selection pane="bottomLeft" activeCell="B9" sqref="B9"/>
      <selection pane="bottomRight" activeCell="AG12" sqref="AG12"/>
    </sheetView>
  </sheetViews>
  <sheetFormatPr baseColWidth="10" defaultColWidth="8.6640625" defaultRowHeight="15"/>
  <cols>
    <col min="1" max="1" width="14" customWidth="1"/>
    <col min="2" max="2" width="18" customWidth="1"/>
    <col min="3" max="4" width="14" customWidth="1"/>
    <col min="5" max="5" width="36" customWidth="1"/>
    <col min="6" max="6" width="40" customWidth="1"/>
    <col min="7" max="11" width="14" customWidth="1"/>
    <col min="12" max="12" width="36" customWidth="1"/>
    <col min="13" max="21" width="14" customWidth="1"/>
    <col min="22" max="22" width="40" customWidth="1"/>
    <col min="23" max="28" width="14" customWidth="1"/>
    <col min="29" max="29" width="79" customWidth="1"/>
    <col min="30" max="30" width="22" customWidth="1"/>
    <col min="31" max="31" width="24" customWidth="1"/>
    <col min="32" max="32" width="22" customWidth="1"/>
    <col min="33" max="33" width="20" customWidth="1"/>
  </cols>
  <sheetData>
    <row r="1" spans="1:33" ht="32">
      <c r="A1" s="39" t="s">
        <v>0</v>
      </c>
      <c r="B1" s="40"/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  <c r="N1" s="11" t="s">
        <v>53</v>
      </c>
      <c r="O1" s="11" t="s">
        <v>54</v>
      </c>
      <c r="P1" s="11" t="s">
        <v>55</v>
      </c>
      <c r="Q1" s="11" t="s">
        <v>56</v>
      </c>
      <c r="R1" s="11" t="s">
        <v>57</v>
      </c>
      <c r="S1" s="11" t="s">
        <v>58</v>
      </c>
      <c r="T1" s="11" t="s">
        <v>59</v>
      </c>
      <c r="U1" s="11" t="s">
        <v>60</v>
      </c>
      <c r="V1" s="11" t="s">
        <v>61</v>
      </c>
      <c r="W1" s="11" t="s">
        <v>62</v>
      </c>
      <c r="X1" s="11" t="s">
        <v>63</v>
      </c>
      <c r="Y1" s="11" t="s">
        <v>64</v>
      </c>
      <c r="Z1" s="11" t="s">
        <v>65</v>
      </c>
      <c r="AA1" s="11" t="s">
        <v>66</v>
      </c>
      <c r="AB1" s="11" t="s">
        <v>67</v>
      </c>
      <c r="AC1" s="12" t="s">
        <v>68</v>
      </c>
      <c r="AD1" s="13" t="s">
        <v>69</v>
      </c>
      <c r="AE1" s="14" t="s">
        <v>70</v>
      </c>
      <c r="AF1" s="14" t="s">
        <v>71</v>
      </c>
      <c r="AG1" s="15" t="s">
        <v>72</v>
      </c>
    </row>
    <row r="2" spans="1:33" ht="112">
      <c r="A2" s="37" t="s">
        <v>73</v>
      </c>
      <c r="B2" s="38"/>
      <c r="C2" s="17" t="s">
        <v>75</v>
      </c>
      <c r="D2" s="18" t="s">
        <v>76</v>
      </c>
      <c r="E2" s="16" t="s">
        <v>77</v>
      </c>
      <c r="F2" s="16" t="s">
        <v>78</v>
      </c>
      <c r="G2" s="16">
        <v>48387440000000</v>
      </c>
      <c r="H2" s="16" t="s">
        <v>79</v>
      </c>
      <c r="I2" s="19">
        <v>508.59196972882103</v>
      </c>
      <c r="J2" s="16" t="s">
        <v>80</v>
      </c>
      <c r="K2" s="18" t="s">
        <v>81</v>
      </c>
      <c r="L2" s="16" t="s">
        <v>82</v>
      </c>
      <c r="M2" s="16"/>
      <c r="N2" s="16">
        <v>508.6</v>
      </c>
      <c r="O2" s="16" t="s">
        <v>83</v>
      </c>
      <c r="P2" s="20" t="s">
        <v>84</v>
      </c>
      <c r="Q2" s="20" t="s">
        <v>85</v>
      </c>
      <c r="R2" s="16" t="s">
        <v>86</v>
      </c>
      <c r="S2" s="16" t="s">
        <v>87</v>
      </c>
      <c r="T2" s="16" t="s">
        <v>88</v>
      </c>
      <c r="U2" s="16" t="s">
        <v>89</v>
      </c>
      <c r="V2" s="16" t="s">
        <v>90</v>
      </c>
      <c r="W2" s="16"/>
      <c r="X2" s="16">
        <v>431</v>
      </c>
      <c r="Y2" s="16" t="s">
        <v>91</v>
      </c>
      <c r="Z2" s="16" t="s">
        <v>92</v>
      </c>
      <c r="AA2" s="16" t="s">
        <v>81</v>
      </c>
      <c r="AB2" s="16" t="s">
        <v>82</v>
      </c>
      <c r="AC2" s="2" t="s">
        <v>93</v>
      </c>
      <c r="AD2" s="21">
        <v>507.98597460401902</v>
      </c>
      <c r="AG2" s="22" t="s">
        <v>94</v>
      </c>
    </row>
    <row r="3" spans="1:33" ht="99.75" customHeight="1">
      <c r="A3" s="16" t="s">
        <v>95</v>
      </c>
      <c r="B3" s="16" t="s">
        <v>96</v>
      </c>
      <c r="C3" s="17" t="s">
        <v>97</v>
      </c>
      <c r="D3" s="18" t="s">
        <v>76</v>
      </c>
      <c r="E3" s="16" t="s">
        <v>98</v>
      </c>
      <c r="F3" s="16" t="s">
        <v>99</v>
      </c>
      <c r="G3" s="16">
        <v>1430000000000</v>
      </c>
      <c r="H3" s="16" t="s">
        <v>100</v>
      </c>
      <c r="I3" s="19">
        <v>211.85185185185199</v>
      </c>
      <c r="J3" s="16" t="s">
        <v>101</v>
      </c>
      <c r="K3" s="20" t="s">
        <v>102</v>
      </c>
      <c r="L3" s="16" t="s">
        <v>103</v>
      </c>
      <c r="M3" s="16"/>
      <c r="N3" s="16">
        <v>199.3</v>
      </c>
      <c r="O3" s="16" t="s">
        <v>104</v>
      </c>
      <c r="P3" s="20" t="s">
        <v>84</v>
      </c>
      <c r="Q3" s="20" t="s">
        <v>85</v>
      </c>
      <c r="R3" s="16" t="s">
        <v>105</v>
      </c>
      <c r="S3" s="16" t="s">
        <v>106</v>
      </c>
      <c r="T3" s="16" t="s">
        <v>107</v>
      </c>
      <c r="U3" s="16" t="s">
        <v>89</v>
      </c>
      <c r="V3" s="16" t="s">
        <v>108</v>
      </c>
      <c r="W3" s="16"/>
      <c r="X3" s="16">
        <v>4863</v>
      </c>
      <c r="Y3" s="16" t="s">
        <v>109</v>
      </c>
      <c r="Z3" s="16" t="s">
        <v>110</v>
      </c>
      <c r="AA3" s="16" t="s">
        <v>81</v>
      </c>
      <c r="AB3" s="16" t="s">
        <v>111</v>
      </c>
      <c r="AC3" s="2" t="s">
        <v>112</v>
      </c>
      <c r="AD3" s="21">
        <v>211.77931351513399</v>
      </c>
      <c r="AG3" s="22" t="s">
        <v>94</v>
      </c>
    </row>
    <row r="4" spans="1:33" ht="176">
      <c r="A4" s="34" t="s">
        <v>1</v>
      </c>
      <c r="B4" s="34" t="s">
        <v>114</v>
      </c>
      <c r="C4" s="17" t="s">
        <v>115</v>
      </c>
      <c r="D4" s="18" t="s">
        <v>76</v>
      </c>
      <c r="E4" s="16" t="s">
        <v>116</v>
      </c>
      <c r="F4" s="16" t="s">
        <v>117</v>
      </c>
      <c r="G4" s="16">
        <v>101030000000000</v>
      </c>
      <c r="H4" s="16" t="s">
        <v>118</v>
      </c>
      <c r="I4" s="19">
        <v>5.6240258294366496</v>
      </c>
      <c r="J4" s="16" t="s">
        <v>119</v>
      </c>
      <c r="K4" s="18" t="s">
        <v>81</v>
      </c>
      <c r="L4" s="16" t="s">
        <v>120</v>
      </c>
      <c r="M4" s="16"/>
      <c r="N4" s="16">
        <v>28</v>
      </c>
      <c r="O4" s="16" t="s">
        <v>121</v>
      </c>
      <c r="P4" s="20" t="s">
        <v>84</v>
      </c>
      <c r="Q4" s="20" t="s">
        <v>85</v>
      </c>
      <c r="R4" s="16" t="s">
        <v>105</v>
      </c>
      <c r="S4" s="16" t="s">
        <v>106</v>
      </c>
      <c r="T4" s="16" t="s">
        <v>107</v>
      </c>
      <c r="U4" s="16" t="s">
        <v>89</v>
      </c>
      <c r="V4" s="16" t="s">
        <v>108</v>
      </c>
      <c r="W4" s="16"/>
      <c r="X4" s="16">
        <v>145</v>
      </c>
      <c r="Y4" s="16" t="s">
        <v>122</v>
      </c>
      <c r="Z4" s="16" t="s">
        <v>123</v>
      </c>
      <c r="AA4" s="16" t="s">
        <v>81</v>
      </c>
      <c r="AB4" s="16" t="s">
        <v>124</v>
      </c>
      <c r="AC4" s="2" t="s">
        <v>125</v>
      </c>
      <c r="AD4" s="21">
        <v>5.6560805779685301</v>
      </c>
      <c r="AG4" s="22" t="s">
        <v>94</v>
      </c>
    </row>
    <row r="5" spans="1:33" ht="99.75" customHeight="1">
      <c r="A5" s="16" t="s">
        <v>126</v>
      </c>
      <c r="B5" s="16" t="s">
        <v>127</v>
      </c>
      <c r="C5" s="17" t="s">
        <v>128</v>
      </c>
      <c r="D5" s="18" t="s">
        <v>76</v>
      </c>
      <c r="E5" s="16" t="s">
        <v>129</v>
      </c>
      <c r="F5" s="16" t="s">
        <v>130</v>
      </c>
      <c r="G5" s="16">
        <v>643446000000</v>
      </c>
      <c r="H5" s="16" t="s">
        <v>131</v>
      </c>
      <c r="I5" s="19">
        <v>19.345941070354801</v>
      </c>
      <c r="J5" s="16" t="s">
        <v>132</v>
      </c>
      <c r="K5" s="18" t="s">
        <v>81</v>
      </c>
      <c r="L5" s="16" t="s">
        <v>133</v>
      </c>
      <c r="M5" s="16"/>
      <c r="N5" s="16">
        <v>19.2</v>
      </c>
      <c r="O5" s="16" t="s">
        <v>134</v>
      </c>
      <c r="P5" s="20" t="s">
        <v>84</v>
      </c>
      <c r="Q5" s="20" t="s">
        <v>85</v>
      </c>
      <c r="R5" s="16" t="s">
        <v>105</v>
      </c>
      <c r="S5" s="16" t="s">
        <v>106</v>
      </c>
      <c r="T5" s="16" t="s">
        <v>107</v>
      </c>
      <c r="U5" s="16" t="s">
        <v>89</v>
      </c>
      <c r="V5" s="16" t="s">
        <v>108</v>
      </c>
      <c r="W5" s="16"/>
      <c r="X5" s="16">
        <v>73</v>
      </c>
      <c r="Y5" s="16" t="s">
        <v>135</v>
      </c>
      <c r="Z5" s="16" t="s">
        <v>136</v>
      </c>
      <c r="AA5" s="16" t="s">
        <v>81</v>
      </c>
      <c r="AB5" s="16" t="s">
        <v>137</v>
      </c>
      <c r="AC5" s="2" t="s">
        <v>138</v>
      </c>
      <c r="AD5" s="21">
        <v>19.484019855201101</v>
      </c>
      <c r="AG5" s="22" t="s">
        <v>94</v>
      </c>
    </row>
    <row r="6" spans="1:33" ht="99.75" customHeight="1">
      <c r="A6" s="16" t="s">
        <v>139</v>
      </c>
      <c r="B6" s="16" t="s">
        <v>140</v>
      </c>
      <c r="C6" s="17" t="s">
        <v>141</v>
      </c>
      <c r="D6" s="18" t="s">
        <v>76</v>
      </c>
      <c r="E6" s="16" t="s">
        <v>142</v>
      </c>
      <c r="F6" s="16" t="s">
        <v>143</v>
      </c>
      <c r="G6" s="16">
        <v>120580070000</v>
      </c>
      <c r="H6" s="16" t="s">
        <v>144</v>
      </c>
      <c r="I6" s="19">
        <v>29.4097731707317</v>
      </c>
      <c r="J6" s="16" t="s">
        <v>132</v>
      </c>
      <c r="K6" s="18" t="s">
        <v>81</v>
      </c>
      <c r="L6" s="16" t="s">
        <v>145</v>
      </c>
      <c r="M6" s="16"/>
      <c r="N6" s="16">
        <v>47.3</v>
      </c>
      <c r="O6" s="16" t="s">
        <v>146</v>
      </c>
      <c r="P6" s="20" t="s">
        <v>84</v>
      </c>
      <c r="Q6" s="20" t="s">
        <v>85</v>
      </c>
      <c r="R6" s="16" t="s">
        <v>105</v>
      </c>
      <c r="S6" s="16" t="s">
        <v>106</v>
      </c>
      <c r="T6" s="16" t="s">
        <v>107</v>
      </c>
      <c r="U6" s="16" t="s">
        <v>89</v>
      </c>
      <c r="V6" s="16" t="s">
        <v>108</v>
      </c>
      <c r="W6" s="16"/>
      <c r="X6" s="16">
        <v>6</v>
      </c>
      <c r="Y6" s="16" t="s">
        <v>147</v>
      </c>
      <c r="Z6" s="16" t="s">
        <v>148</v>
      </c>
      <c r="AA6" s="16" t="s">
        <v>81</v>
      </c>
      <c r="AB6" s="16" t="s">
        <v>149</v>
      </c>
      <c r="AC6" s="2" t="s">
        <v>150</v>
      </c>
      <c r="AD6" s="21">
        <v>29.474040957600199</v>
      </c>
      <c r="AG6" s="23" t="s">
        <v>151</v>
      </c>
    </row>
    <row r="7" spans="1:33" ht="99.75" customHeight="1">
      <c r="A7" s="16" t="s">
        <v>152</v>
      </c>
      <c r="B7" s="16" t="s">
        <v>35</v>
      </c>
      <c r="C7" s="17" t="s">
        <v>153</v>
      </c>
      <c r="D7" s="18" t="s">
        <v>76</v>
      </c>
      <c r="E7" s="16" t="s">
        <v>154</v>
      </c>
      <c r="F7" s="16" t="s">
        <v>155</v>
      </c>
      <c r="G7" s="16">
        <f>AE7-AF7</f>
        <v>2349000000000</v>
      </c>
      <c r="H7" s="16" t="s">
        <v>156</v>
      </c>
      <c r="I7" s="19">
        <v>40.5</v>
      </c>
      <c r="J7" s="16" t="s">
        <v>157</v>
      </c>
      <c r="K7" s="18" t="s">
        <v>81</v>
      </c>
      <c r="L7" s="16" t="s">
        <v>158</v>
      </c>
      <c r="M7" s="16"/>
      <c r="N7" s="16">
        <v>12</v>
      </c>
      <c r="O7" s="16" t="s">
        <v>159</v>
      </c>
      <c r="P7" s="20" t="s">
        <v>84</v>
      </c>
      <c r="Q7" s="20" t="s">
        <v>85</v>
      </c>
      <c r="R7" s="16" t="s">
        <v>105</v>
      </c>
      <c r="S7" s="16" t="s">
        <v>106</v>
      </c>
      <c r="T7" s="16" t="s">
        <v>107</v>
      </c>
      <c r="U7" s="16" t="s">
        <v>89</v>
      </c>
      <c r="V7" s="16" t="s">
        <v>108</v>
      </c>
      <c r="W7" s="16"/>
      <c r="X7" s="16">
        <v>2748</v>
      </c>
      <c r="Y7" s="16" t="s">
        <v>160</v>
      </c>
      <c r="Z7" s="16" t="s">
        <v>161</v>
      </c>
      <c r="AA7" s="16" t="s">
        <v>81</v>
      </c>
      <c r="AB7" s="16" t="s">
        <v>162</v>
      </c>
      <c r="AC7" s="10" t="s">
        <v>163</v>
      </c>
      <c r="AD7" s="21">
        <v>38.613035543816999</v>
      </c>
      <c r="AE7" s="24">
        <v>3537000000000</v>
      </c>
      <c r="AF7" s="24">
        <v>1188000000000</v>
      </c>
      <c r="AG7" s="23" t="s">
        <v>151</v>
      </c>
    </row>
    <row r="8" spans="1:33" ht="142.5" customHeight="1">
      <c r="A8" s="16" t="s">
        <v>164</v>
      </c>
      <c r="B8" s="16" t="s">
        <v>165</v>
      </c>
      <c r="C8" s="17" t="s">
        <v>166</v>
      </c>
      <c r="D8" s="18" t="s">
        <v>76</v>
      </c>
      <c r="E8" s="16" t="s">
        <v>167</v>
      </c>
      <c r="F8" s="16" t="s">
        <v>168</v>
      </c>
      <c r="G8" s="16">
        <v>142000000000000</v>
      </c>
      <c r="H8" s="16" t="s">
        <v>169</v>
      </c>
      <c r="I8" s="19">
        <v>5.5905511811023603</v>
      </c>
      <c r="J8" s="16" t="s">
        <v>170</v>
      </c>
      <c r="K8" s="18" t="s">
        <v>81</v>
      </c>
      <c r="L8" s="16" t="s">
        <v>171</v>
      </c>
      <c r="M8" s="16"/>
      <c r="N8" s="16">
        <v>28</v>
      </c>
      <c r="O8" s="16" t="s">
        <v>172</v>
      </c>
      <c r="P8" s="20" t="s">
        <v>84</v>
      </c>
      <c r="Q8" s="20" t="s">
        <v>85</v>
      </c>
      <c r="R8" s="16" t="s">
        <v>105</v>
      </c>
      <c r="S8" s="16" t="s">
        <v>106</v>
      </c>
      <c r="T8" s="16" t="s">
        <v>107</v>
      </c>
      <c r="U8" s="16" t="s">
        <v>89</v>
      </c>
      <c r="V8" s="16" t="s">
        <v>108</v>
      </c>
      <c r="W8" s="16"/>
      <c r="X8" s="16">
        <v>16</v>
      </c>
      <c r="Y8" s="16" t="s">
        <v>173</v>
      </c>
      <c r="Z8" s="16" t="s">
        <v>174</v>
      </c>
      <c r="AA8" s="16" t="s">
        <v>81</v>
      </c>
      <c r="AB8" s="16" t="s">
        <v>175</v>
      </c>
      <c r="AC8" s="2" t="s">
        <v>176</v>
      </c>
      <c r="AD8" s="21">
        <v>5.4348744644808002</v>
      </c>
      <c r="AG8" s="22" t="s">
        <v>94</v>
      </c>
    </row>
    <row r="9" spans="1:33" ht="99.75" customHeight="1">
      <c r="A9" s="16" t="s">
        <v>177</v>
      </c>
      <c r="B9" s="16" t="s">
        <v>178</v>
      </c>
      <c r="C9" s="17" t="s">
        <v>179</v>
      </c>
      <c r="D9" s="18" t="s">
        <v>76</v>
      </c>
      <c r="E9" s="16" t="s">
        <v>180</v>
      </c>
      <c r="F9" s="16" t="s">
        <v>181</v>
      </c>
      <c r="G9" s="16">
        <v>8487400000000</v>
      </c>
      <c r="H9" s="16" t="s">
        <v>182</v>
      </c>
      <c r="I9" s="19">
        <v>53.908790650406502</v>
      </c>
      <c r="J9" s="16" t="s">
        <v>92</v>
      </c>
      <c r="K9" s="18" t="s">
        <v>81</v>
      </c>
      <c r="L9" s="16" t="s">
        <v>183</v>
      </c>
      <c r="M9" s="16" t="s">
        <v>184</v>
      </c>
      <c r="N9" s="16">
        <v>274.8</v>
      </c>
      <c r="O9" s="16" t="s">
        <v>185</v>
      </c>
      <c r="P9" s="25" t="s">
        <v>186</v>
      </c>
      <c r="Q9" s="25" t="s">
        <v>187</v>
      </c>
      <c r="R9" s="16" t="s">
        <v>188</v>
      </c>
      <c r="S9" s="16" t="s">
        <v>189</v>
      </c>
      <c r="T9" s="16" t="s">
        <v>107</v>
      </c>
      <c r="U9" s="16" t="s">
        <v>190</v>
      </c>
      <c r="V9" s="16" t="s">
        <v>191</v>
      </c>
      <c r="W9" s="16"/>
      <c r="X9" s="16">
        <v>1475</v>
      </c>
      <c r="Y9" s="16" t="s">
        <v>192</v>
      </c>
      <c r="Z9" s="16" t="s">
        <v>123</v>
      </c>
      <c r="AA9" s="16" t="s">
        <v>81</v>
      </c>
      <c r="AB9" s="16" t="s">
        <v>193</v>
      </c>
      <c r="AC9" s="2" t="s">
        <v>194</v>
      </c>
      <c r="AD9" s="21">
        <v>53.758223577065799</v>
      </c>
      <c r="AG9" s="22" t="s">
        <v>94</v>
      </c>
    </row>
    <row r="10" spans="1:33" ht="299.25" customHeight="1">
      <c r="A10" s="16" t="s">
        <v>195</v>
      </c>
      <c r="B10" s="16" t="s">
        <v>196</v>
      </c>
      <c r="C10" s="17" t="s">
        <v>197</v>
      </c>
      <c r="D10" s="18" t="s">
        <v>76</v>
      </c>
      <c r="E10" s="16" t="s">
        <v>198</v>
      </c>
      <c r="F10" s="16" t="s">
        <v>199</v>
      </c>
      <c r="G10" s="16">
        <f>AE10-AF10</f>
        <v>687200000000000</v>
      </c>
      <c r="H10" s="16" t="s">
        <v>200</v>
      </c>
      <c r="I10" s="19">
        <v>497.97101449275402</v>
      </c>
      <c r="J10" s="16" t="s">
        <v>119</v>
      </c>
      <c r="K10" s="18" t="s">
        <v>81</v>
      </c>
      <c r="L10" s="16" t="s">
        <v>201</v>
      </c>
      <c r="M10" s="16"/>
      <c r="N10" s="16">
        <v>155</v>
      </c>
      <c r="O10" s="16" t="s">
        <v>202</v>
      </c>
      <c r="P10" s="25" t="s">
        <v>186</v>
      </c>
      <c r="Q10" s="25" t="s">
        <v>187</v>
      </c>
      <c r="R10" s="16" t="s">
        <v>188</v>
      </c>
      <c r="S10" s="16" t="s">
        <v>189</v>
      </c>
      <c r="T10" s="16" t="s">
        <v>107</v>
      </c>
      <c r="U10" s="16" t="s">
        <v>190</v>
      </c>
      <c r="V10" s="16" t="s">
        <v>191</v>
      </c>
      <c r="W10" s="16"/>
      <c r="X10" s="16">
        <v>183</v>
      </c>
      <c r="Y10" s="16" t="s">
        <v>203</v>
      </c>
      <c r="Z10" s="16" t="s">
        <v>204</v>
      </c>
      <c r="AA10" s="16" t="s">
        <v>102</v>
      </c>
      <c r="AB10" s="16" t="s">
        <v>205</v>
      </c>
      <c r="AC10" s="10" t="s">
        <v>206</v>
      </c>
      <c r="AD10" s="21">
        <v>487.50022847139502</v>
      </c>
      <c r="AE10" s="24">
        <v>1865800000000000</v>
      </c>
      <c r="AF10" s="24">
        <v>1178600000000000</v>
      </c>
      <c r="AG10" s="26" t="s">
        <v>207</v>
      </c>
    </row>
    <row r="11" spans="1:33" ht="242.25" customHeight="1">
      <c r="A11" s="16" t="s">
        <v>208</v>
      </c>
      <c r="B11" s="16" t="s">
        <v>37</v>
      </c>
      <c r="C11" s="17" t="s">
        <v>209</v>
      </c>
      <c r="D11" s="18" t="s">
        <v>76</v>
      </c>
      <c r="E11" s="16" t="s">
        <v>210</v>
      </c>
      <c r="F11" s="16" t="s">
        <v>211</v>
      </c>
      <c r="G11" s="16">
        <f>AE11-AF11</f>
        <v>2030654000000</v>
      </c>
      <c r="H11" s="16" t="s">
        <v>212</v>
      </c>
      <c r="I11" s="19">
        <v>62.481661538461502</v>
      </c>
      <c r="J11" s="16" t="s">
        <v>132</v>
      </c>
      <c r="K11" s="18" t="s">
        <v>81</v>
      </c>
      <c r="L11" s="16" t="s">
        <v>213</v>
      </c>
      <c r="M11" s="16"/>
      <c r="N11" s="16">
        <v>85</v>
      </c>
      <c r="O11" s="16" t="s">
        <v>214</v>
      </c>
      <c r="P11" s="25" t="s">
        <v>186</v>
      </c>
      <c r="Q11" s="25" t="s">
        <v>187</v>
      </c>
      <c r="R11" s="16"/>
      <c r="S11" s="16"/>
      <c r="T11" s="16" t="s">
        <v>215</v>
      </c>
      <c r="U11" s="16" t="s">
        <v>89</v>
      </c>
      <c r="V11" s="16" t="s">
        <v>216</v>
      </c>
      <c r="W11" s="17" t="s">
        <v>217</v>
      </c>
      <c r="X11" s="16">
        <v>8</v>
      </c>
      <c r="Y11" s="16" t="s">
        <v>218</v>
      </c>
      <c r="Z11" s="16" t="s">
        <v>157</v>
      </c>
      <c r="AA11" s="16" t="s">
        <v>81</v>
      </c>
      <c r="AB11" s="16" t="s">
        <v>219</v>
      </c>
      <c r="AC11" s="10" t="s">
        <v>220</v>
      </c>
      <c r="AD11" s="21">
        <v>63.102857719611698</v>
      </c>
      <c r="AE11" s="24">
        <v>13843306000000</v>
      </c>
      <c r="AF11" s="24">
        <v>11812652000000</v>
      </c>
      <c r="AG11" s="23" t="s">
        <v>151</v>
      </c>
    </row>
    <row r="12" spans="1:33" ht="160">
      <c r="A12" s="34" t="s">
        <v>221</v>
      </c>
      <c r="B12" s="16" t="s">
        <v>222</v>
      </c>
      <c r="C12" s="17" t="s">
        <v>223</v>
      </c>
      <c r="D12" s="18" t="s">
        <v>76</v>
      </c>
      <c r="E12" s="16" t="s">
        <v>224</v>
      </c>
      <c r="F12" s="16" t="s">
        <v>225</v>
      </c>
      <c r="G12" s="16">
        <v>565531900000</v>
      </c>
      <c r="H12" s="16" t="s">
        <v>226</v>
      </c>
      <c r="I12" s="19">
        <v>4.5703240665912404</v>
      </c>
      <c r="J12" s="16" t="s">
        <v>227</v>
      </c>
      <c r="K12" s="18" t="s">
        <v>81</v>
      </c>
      <c r="L12" s="16" t="s">
        <v>228</v>
      </c>
      <c r="M12" s="16"/>
      <c r="N12" s="16">
        <v>12.9</v>
      </c>
      <c r="O12" s="16" t="s">
        <v>172</v>
      </c>
      <c r="P12" s="20" t="s">
        <v>84</v>
      </c>
      <c r="Q12" s="20" t="s">
        <v>85</v>
      </c>
      <c r="R12" s="16" t="s">
        <v>86</v>
      </c>
      <c r="S12" s="16" t="s">
        <v>87</v>
      </c>
      <c r="T12" s="16" t="s">
        <v>88</v>
      </c>
      <c r="U12" s="16" t="s">
        <v>89</v>
      </c>
      <c r="V12" s="16" t="s">
        <v>90</v>
      </c>
      <c r="W12" s="16"/>
      <c r="X12" s="16">
        <v>724</v>
      </c>
      <c r="Y12" s="16" t="s">
        <v>229</v>
      </c>
      <c r="Z12" s="16" t="s">
        <v>230</v>
      </c>
      <c r="AA12" s="16" t="s">
        <v>81</v>
      </c>
      <c r="AB12" s="16" t="s">
        <v>231</v>
      </c>
      <c r="AC12" s="2" t="s">
        <v>232</v>
      </c>
      <c r="AD12" s="21">
        <v>4.5763445448178599</v>
      </c>
      <c r="AG12" s="22" t="s">
        <v>94</v>
      </c>
    </row>
    <row r="13" spans="1:33" ht="99.75" customHeight="1">
      <c r="A13" s="16" t="s">
        <v>233</v>
      </c>
      <c r="B13" s="16" t="s">
        <v>36</v>
      </c>
      <c r="C13" s="17" t="s">
        <v>234</v>
      </c>
      <c r="D13" s="18" t="s">
        <v>76</v>
      </c>
      <c r="E13" s="16" t="s">
        <v>235</v>
      </c>
      <c r="F13" s="16" t="s">
        <v>236</v>
      </c>
      <c r="G13" s="16">
        <f>AE13-AF13</f>
        <v>778000000000</v>
      </c>
      <c r="H13" s="16" t="s">
        <v>237</v>
      </c>
      <c r="I13" s="19">
        <v>2.80279559046041</v>
      </c>
      <c r="J13" s="16" t="s">
        <v>101</v>
      </c>
      <c r="K13" s="18" t="s">
        <v>81</v>
      </c>
      <c r="L13" s="16" t="s">
        <v>238</v>
      </c>
      <c r="M13" s="16"/>
      <c r="N13" s="16">
        <v>1.36</v>
      </c>
      <c r="O13" s="16" t="s">
        <v>239</v>
      </c>
      <c r="P13" s="20" t="s">
        <v>84</v>
      </c>
      <c r="Q13" s="20" t="s">
        <v>85</v>
      </c>
      <c r="R13" s="16" t="s">
        <v>86</v>
      </c>
      <c r="S13" s="16" t="s">
        <v>87</v>
      </c>
      <c r="T13" s="16" t="s">
        <v>240</v>
      </c>
      <c r="U13" s="16" t="s">
        <v>89</v>
      </c>
      <c r="V13" s="16" t="s">
        <v>90</v>
      </c>
      <c r="W13" s="16"/>
      <c r="X13" s="16">
        <v>116</v>
      </c>
      <c r="Y13" s="16" t="s">
        <v>241</v>
      </c>
      <c r="Z13" s="16" t="s">
        <v>204</v>
      </c>
      <c r="AA13" s="16" t="s">
        <v>102</v>
      </c>
      <c r="AB13" s="16" t="s">
        <v>242</v>
      </c>
      <c r="AC13" s="10" t="s">
        <v>243</v>
      </c>
      <c r="AD13" s="21">
        <v>2.79892561549382</v>
      </c>
      <c r="AE13" s="24">
        <v>998000000000</v>
      </c>
      <c r="AF13" s="24">
        <v>220000000000</v>
      </c>
      <c r="AG13" s="23" t="s">
        <v>151</v>
      </c>
    </row>
    <row r="14" spans="1:33" ht="142.5" customHeight="1">
      <c r="A14" s="16" t="s">
        <v>244</v>
      </c>
      <c r="B14" s="16" t="s">
        <v>245</v>
      </c>
      <c r="C14" s="17" t="s">
        <v>246</v>
      </c>
      <c r="D14" s="18" t="s">
        <v>76</v>
      </c>
      <c r="E14" s="16" t="s">
        <v>247</v>
      </c>
      <c r="F14" s="16" t="s">
        <v>248</v>
      </c>
      <c r="G14" s="16">
        <v>2450300000000</v>
      </c>
      <c r="H14" s="16" t="s">
        <v>249</v>
      </c>
      <c r="I14" s="19">
        <v>7.3003813609820103</v>
      </c>
      <c r="J14" s="16" t="s">
        <v>227</v>
      </c>
      <c r="K14" s="18" t="s">
        <v>81</v>
      </c>
      <c r="L14" s="16" t="s">
        <v>250</v>
      </c>
      <c r="M14" s="16" t="s">
        <v>251</v>
      </c>
      <c r="N14" s="16">
        <v>4.26</v>
      </c>
      <c r="O14" s="16" t="s">
        <v>172</v>
      </c>
      <c r="P14" s="20" t="s">
        <v>84</v>
      </c>
      <c r="Q14" s="20" t="s">
        <v>85</v>
      </c>
      <c r="R14" s="16" t="s">
        <v>105</v>
      </c>
      <c r="S14" s="16" t="s">
        <v>106</v>
      </c>
      <c r="T14" s="16" t="s">
        <v>88</v>
      </c>
      <c r="U14" s="16" t="s">
        <v>89</v>
      </c>
      <c r="V14" s="16" t="s">
        <v>108</v>
      </c>
      <c r="W14" s="16"/>
      <c r="X14" s="16">
        <v>31</v>
      </c>
      <c r="Y14" s="16" t="s">
        <v>252</v>
      </c>
      <c r="Z14" s="16" t="s">
        <v>253</v>
      </c>
      <c r="AA14" s="16" t="s">
        <v>81</v>
      </c>
      <c r="AB14" s="16" t="s">
        <v>254</v>
      </c>
      <c r="AC14" s="2" t="s">
        <v>255</v>
      </c>
      <c r="AD14" s="21">
        <v>7.3067542857723602</v>
      </c>
      <c r="AG14" s="22" t="s">
        <v>94</v>
      </c>
    </row>
    <row r="15" spans="1:33" ht="99.75" customHeight="1">
      <c r="A15" s="16" t="s">
        <v>256</v>
      </c>
      <c r="B15" s="16" t="s">
        <v>257</v>
      </c>
      <c r="C15" s="17" t="s">
        <v>258</v>
      </c>
      <c r="D15" s="18" t="s">
        <v>76</v>
      </c>
      <c r="E15" s="16" t="s">
        <v>259</v>
      </c>
      <c r="F15" s="16" t="s">
        <v>260</v>
      </c>
      <c r="G15" s="16">
        <v>278300000000</v>
      </c>
      <c r="H15" s="16" t="s">
        <v>261</v>
      </c>
      <c r="I15" s="19">
        <v>16.123986095017401</v>
      </c>
      <c r="J15" s="16" t="s">
        <v>101</v>
      </c>
      <c r="K15" s="18" t="s">
        <v>81</v>
      </c>
      <c r="L15" s="16" t="s">
        <v>262</v>
      </c>
      <c r="M15" s="16"/>
      <c r="N15" s="16">
        <v>40.6</v>
      </c>
      <c r="O15" s="16" t="s">
        <v>263</v>
      </c>
      <c r="P15" s="20" t="s">
        <v>84</v>
      </c>
      <c r="Q15" s="20" t="s">
        <v>85</v>
      </c>
      <c r="R15" s="16" t="s">
        <v>105</v>
      </c>
      <c r="S15" s="16" t="s">
        <v>106</v>
      </c>
      <c r="T15" s="16" t="s">
        <v>264</v>
      </c>
      <c r="U15" s="16" t="s">
        <v>190</v>
      </c>
      <c r="V15" s="16" t="s">
        <v>265</v>
      </c>
      <c r="W15" s="16"/>
      <c r="X15" s="16">
        <v>2145</v>
      </c>
      <c r="Y15" s="16" t="s">
        <v>266</v>
      </c>
      <c r="Z15" s="16" t="s">
        <v>267</v>
      </c>
      <c r="AA15" s="16" t="s">
        <v>102</v>
      </c>
      <c r="AB15" s="16" t="s">
        <v>268</v>
      </c>
      <c r="AC15" s="2" t="s">
        <v>269</v>
      </c>
      <c r="AD15" s="21">
        <v>16.236007965270002</v>
      </c>
      <c r="AG15" s="23" t="s">
        <v>151</v>
      </c>
    </row>
    <row r="16" spans="1:33" ht="99.75" customHeight="1">
      <c r="A16" s="16" t="s">
        <v>270</v>
      </c>
      <c r="B16" s="16" t="s">
        <v>271</v>
      </c>
      <c r="C16" s="17" t="s">
        <v>272</v>
      </c>
      <c r="D16" s="18" t="s">
        <v>76</v>
      </c>
      <c r="E16" s="16" t="s">
        <v>273</v>
      </c>
      <c r="F16" s="16" t="s">
        <v>274</v>
      </c>
      <c r="G16" s="16">
        <v>1182697000000</v>
      </c>
      <c r="H16" s="16" t="s">
        <v>275</v>
      </c>
      <c r="I16" s="19">
        <v>215.035818181818</v>
      </c>
      <c r="J16" s="16" t="s">
        <v>132</v>
      </c>
      <c r="K16" s="18" t="s">
        <v>81</v>
      </c>
      <c r="L16" s="16" t="s">
        <v>276</v>
      </c>
      <c r="M16" s="16"/>
      <c r="N16" s="16">
        <v>95</v>
      </c>
      <c r="O16" s="16" t="s">
        <v>277</v>
      </c>
      <c r="P16" s="20" t="s">
        <v>84</v>
      </c>
      <c r="Q16" s="20" t="s">
        <v>85</v>
      </c>
      <c r="R16" s="16" t="s">
        <v>105</v>
      </c>
      <c r="S16" s="16" t="s">
        <v>106</v>
      </c>
      <c r="T16" s="16" t="s">
        <v>264</v>
      </c>
      <c r="U16" s="16" t="s">
        <v>89</v>
      </c>
      <c r="V16" s="16" t="s">
        <v>108</v>
      </c>
      <c r="W16" s="16"/>
      <c r="X16" s="16">
        <v>136</v>
      </c>
      <c r="Y16" s="16" t="s">
        <v>278</v>
      </c>
      <c r="Z16" s="16" t="s">
        <v>279</v>
      </c>
      <c r="AA16" s="16" t="s">
        <v>81</v>
      </c>
      <c r="AB16" s="16" t="s">
        <v>280</v>
      </c>
      <c r="AC16" s="2" t="s">
        <v>281</v>
      </c>
      <c r="AD16" s="21">
        <v>232.398934110108</v>
      </c>
      <c r="AG16" s="26" t="s">
        <v>207</v>
      </c>
    </row>
    <row r="17" spans="1:33" ht="142.5" customHeight="1">
      <c r="A17" s="16" t="s">
        <v>282</v>
      </c>
      <c r="B17" s="16" t="s">
        <v>283</v>
      </c>
      <c r="C17" s="17" t="s">
        <v>284</v>
      </c>
      <c r="D17" s="18" t="s">
        <v>76</v>
      </c>
      <c r="E17" s="16" t="s">
        <v>285</v>
      </c>
      <c r="F17" s="16" t="s">
        <v>286</v>
      </c>
      <c r="G17" s="16">
        <v>76800000000</v>
      </c>
      <c r="H17" s="16" t="s">
        <v>287</v>
      </c>
      <c r="I17" s="19">
        <v>0.59410536087259203</v>
      </c>
      <c r="J17" s="16" t="s">
        <v>136</v>
      </c>
      <c r="K17" s="18" t="s">
        <v>81</v>
      </c>
      <c r="L17" s="16" t="s">
        <v>288</v>
      </c>
      <c r="M17" s="16" t="s">
        <v>289</v>
      </c>
      <c r="N17" s="16">
        <v>0.42699999999999999</v>
      </c>
      <c r="O17" s="16" t="s">
        <v>290</v>
      </c>
      <c r="P17" s="20" t="s">
        <v>84</v>
      </c>
      <c r="Q17" s="20" t="s">
        <v>85</v>
      </c>
      <c r="R17" s="16" t="s">
        <v>86</v>
      </c>
      <c r="S17" s="16" t="s">
        <v>87</v>
      </c>
      <c r="T17" s="16" t="s">
        <v>291</v>
      </c>
      <c r="U17" s="16" t="s">
        <v>89</v>
      </c>
      <c r="V17" s="16" t="s">
        <v>90</v>
      </c>
      <c r="W17" s="16"/>
      <c r="X17" s="16">
        <v>195</v>
      </c>
      <c r="Y17" s="16" t="s">
        <v>292</v>
      </c>
      <c r="Z17" s="16" t="s">
        <v>293</v>
      </c>
      <c r="AA17" s="16" t="s">
        <v>81</v>
      </c>
      <c r="AB17" s="16" t="s">
        <v>294</v>
      </c>
      <c r="AC17" s="2" t="s">
        <v>295</v>
      </c>
      <c r="AD17" s="21">
        <v>0.59369661175488397</v>
      </c>
      <c r="AG17" s="22" t="s">
        <v>94</v>
      </c>
    </row>
    <row r="18" spans="1:33" ht="114" customHeight="1">
      <c r="A18" s="16" t="s">
        <v>296</v>
      </c>
      <c r="B18" s="16" t="s">
        <v>297</v>
      </c>
      <c r="C18" s="17" t="s">
        <v>298</v>
      </c>
      <c r="D18" s="18" t="s">
        <v>76</v>
      </c>
      <c r="E18" s="16" t="s">
        <v>299</v>
      </c>
      <c r="F18" s="16" t="s">
        <v>300</v>
      </c>
      <c r="G18" s="16">
        <v>185826000000</v>
      </c>
      <c r="H18" s="16" t="s">
        <v>301</v>
      </c>
      <c r="I18" s="19">
        <v>10.3236666666667</v>
      </c>
      <c r="J18" s="16" t="s">
        <v>136</v>
      </c>
      <c r="K18" s="18" t="s">
        <v>81</v>
      </c>
      <c r="L18" s="16" t="s">
        <v>302</v>
      </c>
      <c r="M18" s="16" t="s">
        <v>303</v>
      </c>
      <c r="N18" s="16">
        <v>9.5299999999999994</v>
      </c>
      <c r="O18" s="16" t="s">
        <v>304</v>
      </c>
      <c r="P18" s="20" t="s">
        <v>84</v>
      </c>
      <c r="Q18" s="20" t="s">
        <v>85</v>
      </c>
      <c r="R18" s="16" t="s">
        <v>105</v>
      </c>
      <c r="S18" s="16" t="s">
        <v>106</v>
      </c>
      <c r="T18" s="16" t="s">
        <v>291</v>
      </c>
      <c r="U18" s="16" t="s">
        <v>89</v>
      </c>
      <c r="V18" s="16" t="s">
        <v>108</v>
      </c>
      <c r="W18" s="16"/>
      <c r="X18" s="16">
        <v>8147</v>
      </c>
      <c r="Y18" s="16" t="s">
        <v>305</v>
      </c>
      <c r="Z18" s="16" t="s">
        <v>92</v>
      </c>
      <c r="AA18" s="16" t="s">
        <v>81</v>
      </c>
      <c r="AB18" s="16" t="s">
        <v>306</v>
      </c>
      <c r="AC18" s="2" t="s">
        <v>307</v>
      </c>
      <c r="AD18" s="21">
        <v>11.4959303110031</v>
      </c>
      <c r="AG18" s="22" t="s">
        <v>94</v>
      </c>
    </row>
    <row r="19" spans="1:33" ht="99.75" customHeight="1">
      <c r="A19" s="16" t="s">
        <v>308</v>
      </c>
      <c r="B19" s="16" t="s">
        <v>309</v>
      </c>
      <c r="C19" s="17" t="s">
        <v>310</v>
      </c>
      <c r="D19" s="18" t="s">
        <v>76</v>
      </c>
      <c r="E19" s="16" t="s">
        <v>311</v>
      </c>
      <c r="F19" s="16" t="s">
        <v>312</v>
      </c>
      <c r="G19" s="16">
        <v>3783400000000</v>
      </c>
      <c r="H19" s="16" t="s">
        <v>313</v>
      </c>
      <c r="I19" s="19">
        <v>2.52226666666667</v>
      </c>
      <c r="J19" s="16" t="s">
        <v>101</v>
      </c>
      <c r="K19" s="18" t="s">
        <v>81</v>
      </c>
      <c r="L19" s="16" t="s">
        <v>314</v>
      </c>
      <c r="M19" s="16"/>
      <c r="N19" s="16">
        <v>0.95379999999999998</v>
      </c>
      <c r="O19" s="16" t="s">
        <v>315</v>
      </c>
      <c r="P19" s="20" t="s">
        <v>84</v>
      </c>
      <c r="Q19" s="20" t="s">
        <v>85</v>
      </c>
      <c r="R19" s="16" t="s">
        <v>86</v>
      </c>
      <c r="S19" s="16" t="s">
        <v>87</v>
      </c>
      <c r="T19" s="16" t="s">
        <v>291</v>
      </c>
      <c r="U19" s="16" t="s">
        <v>89</v>
      </c>
      <c r="V19" s="16" t="s">
        <v>90</v>
      </c>
      <c r="W19" s="16"/>
      <c r="X19" s="16">
        <v>785</v>
      </c>
      <c r="Y19" s="16" t="s">
        <v>316</v>
      </c>
      <c r="Z19" s="16" t="s">
        <v>317</v>
      </c>
      <c r="AA19" s="16" t="s">
        <v>102</v>
      </c>
      <c r="AB19" s="16" t="s">
        <v>318</v>
      </c>
      <c r="AC19" s="10" t="s">
        <v>319</v>
      </c>
      <c r="AD19" s="21">
        <v>2.77394429301195</v>
      </c>
      <c r="AG19" s="26" t="s">
        <v>207</v>
      </c>
    </row>
    <row r="20" spans="1:33" ht="160">
      <c r="A20" s="16" t="s">
        <v>320</v>
      </c>
      <c r="B20" s="16" t="s">
        <v>321</v>
      </c>
      <c r="C20" s="17" t="s">
        <v>322</v>
      </c>
      <c r="D20" s="18" t="s">
        <v>76</v>
      </c>
      <c r="E20" s="16" t="s">
        <v>323</v>
      </c>
      <c r="F20" s="16" t="s">
        <v>324</v>
      </c>
      <c r="G20" s="16">
        <v>5654150000</v>
      </c>
      <c r="H20" s="16" t="s">
        <v>325</v>
      </c>
      <c r="I20" s="19">
        <v>0.36478387096774201</v>
      </c>
      <c r="J20" s="16" t="s">
        <v>326</v>
      </c>
      <c r="K20" s="20" t="s">
        <v>102</v>
      </c>
      <c r="L20" s="16" t="s">
        <v>327</v>
      </c>
      <c r="M20" s="16"/>
      <c r="N20" s="16">
        <v>2.88</v>
      </c>
      <c r="O20" s="16" t="s">
        <v>172</v>
      </c>
      <c r="P20" s="20" t="s">
        <v>84</v>
      </c>
      <c r="Q20" s="20" t="s">
        <v>85</v>
      </c>
      <c r="R20" s="16" t="s">
        <v>86</v>
      </c>
      <c r="S20" s="16" t="s">
        <v>87</v>
      </c>
      <c r="T20" s="16" t="s">
        <v>291</v>
      </c>
      <c r="U20" s="16" t="s">
        <v>89</v>
      </c>
      <c r="V20" s="16" t="s">
        <v>90</v>
      </c>
      <c r="W20" s="16"/>
      <c r="X20" s="16">
        <v>11</v>
      </c>
      <c r="Y20" s="16" t="s">
        <v>173</v>
      </c>
      <c r="Z20" s="16" t="s">
        <v>279</v>
      </c>
      <c r="AA20" s="16" t="s">
        <v>81</v>
      </c>
      <c r="AB20" s="16" t="s">
        <v>328</v>
      </c>
      <c r="AC20" s="2" t="s">
        <v>329</v>
      </c>
      <c r="AD20" s="21">
        <v>0.48090106254711901</v>
      </c>
      <c r="AG20" s="22" t="s">
        <v>94</v>
      </c>
    </row>
    <row r="21" spans="1:33" ht="142.5" customHeight="1">
      <c r="A21" s="16" t="s">
        <v>330</v>
      </c>
      <c r="B21" s="16" t="s">
        <v>331</v>
      </c>
      <c r="C21" s="17" t="s">
        <v>332</v>
      </c>
      <c r="D21" s="18" t="s">
        <v>76</v>
      </c>
      <c r="E21" s="16" t="s">
        <v>333</v>
      </c>
      <c r="F21" s="16" t="s">
        <v>333</v>
      </c>
      <c r="G21" s="16">
        <v>7216300000000</v>
      </c>
      <c r="H21" s="16" t="s">
        <v>334</v>
      </c>
      <c r="I21" s="19">
        <v>2.1224411764705899</v>
      </c>
      <c r="J21" s="16" t="s">
        <v>204</v>
      </c>
      <c r="K21" s="18" t="s">
        <v>81</v>
      </c>
      <c r="L21" s="16" t="s">
        <v>335</v>
      </c>
      <c r="M21" s="16"/>
      <c r="N21" s="16">
        <v>1.2</v>
      </c>
      <c r="O21" s="16" t="s">
        <v>172</v>
      </c>
      <c r="P21" s="20" t="s">
        <v>84</v>
      </c>
      <c r="Q21" s="20" t="s">
        <v>85</v>
      </c>
      <c r="R21" s="16" t="s">
        <v>105</v>
      </c>
      <c r="S21" s="16" t="s">
        <v>106</v>
      </c>
      <c r="T21" s="16" t="s">
        <v>107</v>
      </c>
      <c r="U21" s="16" t="s">
        <v>89</v>
      </c>
      <c r="V21" s="16" t="s">
        <v>108</v>
      </c>
      <c r="W21" s="16"/>
      <c r="X21" s="16">
        <v>577</v>
      </c>
      <c r="Y21" s="16" t="s">
        <v>336</v>
      </c>
      <c r="Z21" s="16" t="s">
        <v>337</v>
      </c>
      <c r="AA21" s="16" t="s">
        <v>81</v>
      </c>
      <c r="AB21" s="16" t="s">
        <v>338</v>
      </c>
      <c r="AC21" s="2" t="s">
        <v>339</v>
      </c>
      <c r="AD21" s="21">
        <v>1.99665279501847</v>
      </c>
      <c r="AG21" s="22" t="s">
        <v>94</v>
      </c>
    </row>
    <row r="22" spans="1:33" ht="112">
      <c r="A22" s="16" t="s">
        <v>340</v>
      </c>
      <c r="B22" s="16" t="s">
        <v>341</v>
      </c>
      <c r="C22" s="17" t="s">
        <v>342</v>
      </c>
      <c r="D22" s="18" t="s">
        <v>76</v>
      </c>
      <c r="E22" s="16" t="s">
        <v>343</v>
      </c>
      <c r="F22" s="16" t="s">
        <v>344</v>
      </c>
      <c r="G22" s="16">
        <v>11600000000000</v>
      </c>
      <c r="H22" s="16" t="s">
        <v>345</v>
      </c>
      <c r="I22" s="19">
        <v>22.745098039215701</v>
      </c>
      <c r="J22" s="16" t="s">
        <v>101</v>
      </c>
      <c r="K22" s="18" t="s">
        <v>81</v>
      </c>
      <c r="L22" s="16" t="s">
        <v>346</v>
      </c>
      <c r="M22" s="16"/>
      <c r="N22" s="16">
        <v>8.5</v>
      </c>
      <c r="O22" s="16" t="s">
        <v>347</v>
      </c>
      <c r="P22" s="20" t="s">
        <v>84</v>
      </c>
      <c r="Q22" s="20" t="s">
        <v>85</v>
      </c>
      <c r="R22" s="16" t="s">
        <v>105</v>
      </c>
      <c r="S22" s="16" t="s">
        <v>106</v>
      </c>
      <c r="T22" s="16" t="s">
        <v>348</v>
      </c>
      <c r="U22" s="16" t="s">
        <v>89</v>
      </c>
      <c r="V22" s="16" t="s">
        <v>108</v>
      </c>
      <c r="W22" s="16"/>
      <c r="X22" s="16">
        <v>215</v>
      </c>
      <c r="Y22" s="16" t="s">
        <v>349</v>
      </c>
      <c r="Z22" s="16" t="s">
        <v>350</v>
      </c>
      <c r="AA22" s="16" t="s">
        <v>81</v>
      </c>
      <c r="AB22" s="16" t="s">
        <v>351</v>
      </c>
      <c r="AC22" s="2" t="s">
        <v>352</v>
      </c>
      <c r="AD22" s="21">
        <v>24.769284947278301</v>
      </c>
      <c r="AG22" s="26" t="s">
        <v>207</v>
      </c>
    </row>
    <row r="23" spans="1:33" ht="160">
      <c r="A23" s="16" t="s">
        <v>353</v>
      </c>
      <c r="B23" s="16" t="s">
        <v>354</v>
      </c>
      <c r="C23" s="17" t="s">
        <v>355</v>
      </c>
      <c r="D23" s="18" t="s">
        <v>76</v>
      </c>
      <c r="E23" s="16" t="s">
        <v>356</v>
      </c>
      <c r="F23" s="16" t="s">
        <v>357</v>
      </c>
      <c r="G23" s="16">
        <v>10838400000000</v>
      </c>
      <c r="H23" s="16" t="s">
        <v>358</v>
      </c>
      <c r="I23" s="19">
        <v>0.84675</v>
      </c>
      <c r="J23" s="16" t="s">
        <v>359</v>
      </c>
      <c r="K23" s="18" t="s">
        <v>81</v>
      </c>
      <c r="L23" s="16" t="s">
        <v>360</v>
      </c>
      <c r="M23" s="16"/>
      <c r="N23" s="16">
        <v>4</v>
      </c>
      <c r="O23" s="16" t="s">
        <v>172</v>
      </c>
      <c r="P23" s="20" t="s">
        <v>84</v>
      </c>
      <c r="Q23" s="20" t="s">
        <v>85</v>
      </c>
      <c r="R23" s="16" t="s">
        <v>86</v>
      </c>
      <c r="S23" s="16" t="s">
        <v>87</v>
      </c>
      <c r="T23" s="16" t="s">
        <v>348</v>
      </c>
      <c r="U23" s="16" t="s">
        <v>89</v>
      </c>
      <c r="V23" s="16" t="s">
        <v>90</v>
      </c>
      <c r="W23" s="16"/>
      <c r="X23" s="16">
        <v>132</v>
      </c>
      <c r="Y23" s="16" t="s">
        <v>349</v>
      </c>
      <c r="Z23" s="16" t="s">
        <v>359</v>
      </c>
      <c r="AA23" s="16" t="s">
        <v>81</v>
      </c>
      <c r="AB23" s="16" t="s">
        <v>361</v>
      </c>
      <c r="AC23" s="2" t="s">
        <v>362</v>
      </c>
      <c r="AD23" s="21">
        <v>0.91452065355772005</v>
      </c>
      <c r="AG23" s="22" t="s">
        <v>94</v>
      </c>
    </row>
    <row r="24" spans="1:33" ht="96">
      <c r="A24" s="16" t="s">
        <v>363</v>
      </c>
      <c r="B24" s="16" t="s">
        <v>364</v>
      </c>
      <c r="C24" s="17" t="s">
        <v>365</v>
      </c>
      <c r="D24" s="18" t="s">
        <v>76</v>
      </c>
      <c r="E24" s="16" t="s">
        <v>366</v>
      </c>
      <c r="F24" s="16" t="s">
        <v>367</v>
      </c>
      <c r="G24" s="16">
        <v>57600000000</v>
      </c>
      <c r="H24" s="16" t="s">
        <v>368</v>
      </c>
      <c r="I24" s="19">
        <v>0.66206896551724104</v>
      </c>
      <c r="J24" s="16" t="s">
        <v>110</v>
      </c>
      <c r="K24" s="20" t="s">
        <v>102</v>
      </c>
      <c r="L24" s="16" t="s">
        <v>369</v>
      </c>
      <c r="M24" s="16"/>
      <c r="N24" s="16">
        <v>1.5</v>
      </c>
      <c r="O24" s="16" t="s">
        <v>370</v>
      </c>
      <c r="P24" s="20" t="s">
        <v>84</v>
      </c>
      <c r="Q24" s="20" t="s">
        <v>85</v>
      </c>
      <c r="R24" s="16" t="s">
        <v>86</v>
      </c>
      <c r="S24" s="16" t="s">
        <v>87</v>
      </c>
      <c r="T24" s="16" t="s">
        <v>348</v>
      </c>
      <c r="U24" s="16" t="s">
        <v>89</v>
      </c>
      <c r="V24" s="16" t="s">
        <v>90</v>
      </c>
      <c r="W24" s="16"/>
      <c r="X24" s="16">
        <v>106</v>
      </c>
      <c r="Y24" s="16" t="s">
        <v>349</v>
      </c>
      <c r="Z24" s="16" t="s">
        <v>267</v>
      </c>
      <c r="AA24" s="16" t="s">
        <v>81</v>
      </c>
      <c r="AB24" s="16" t="s">
        <v>371</v>
      </c>
      <c r="AC24" s="2" t="s">
        <v>372</v>
      </c>
      <c r="AD24" s="21">
        <v>0.65847689082210803</v>
      </c>
      <c r="AG24" s="22" t="s">
        <v>94</v>
      </c>
    </row>
    <row r="25" spans="1:33" ht="142.5" customHeight="1">
      <c r="A25" s="16" t="s">
        <v>373</v>
      </c>
      <c r="B25" s="16" t="s">
        <v>374</v>
      </c>
      <c r="C25" s="17" t="s">
        <v>375</v>
      </c>
      <c r="D25" s="18" t="s">
        <v>76</v>
      </c>
      <c r="E25" s="16" t="s">
        <v>376</v>
      </c>
      <c r="F25" s="16" t="s">
        <v>377</v>
      </c>
      <c r="G25" s="16">
        <v>26100000000</v>
      </c>
      <c r="H25" s="16" t="s">
        <v>378</v>
      </c>
      <c r="I25" s="19">
        <v>2.8369565217391299</v>
      </c>
      <c r="J25" s="16" t="s">
        <v>204</v>
      </c>
      <c r="K25" s="18" t="s">
        <v>81</v>
      </c>
      <c r="L25" s="16" t="s">
        <v>379</v>
      </c>
      <c r="M25" s="16"/>
      <c r="N25" s="16">
        <v>0.8</v>
      </c>
      <c r="O25" s="16" t="s">
        <v>172</v>
      </c>
      <c r="P25" s="20" t="s">
        <v>84</v>
      </c>
      <c r="Q25" s="20" t="s">
        <v>85</v>
      </c>
      <c r="R25" s="16" t="s">
        <v>86</v>
      </c>
      <c r="S25" s="16" t="s">
        <v>87</v>
      </c>
      <c r="T25" s="16" t="s">
        <v>348</v>
      </c>
      <c r="U25" s="16" t="s">
        <v>89</v>
      </c>
      <c r="V25" s="16" t="s">
        <v>90</v>
      </c>
      <c r="W25" s="16"/>
      <c r="X25" s="16">
        <v>51</v>
      </c>
      <c r="Y25" s="16" t="s">
        <v>349</v>
      </c>
      <c r="Z25" s="16" t="s">
        <v>227</v>
      </c>
      <c r="AA25" s="16" t="s">
        <v>81</v>
      </c>
      <c r="AB25" s="16" t="s">
        <v>380</v>
      </c>
      <c r="AC25" s="10" t="s">
        <v>381</v>
      </c>
      <c r="AD25" s="21">
        <v>2.8278621784485098</v>
      </c>
      <c r="AG25" s="26" t="s">
        <v>207</v>
      </c>
    </row>
    <row r="26" spans="1:33" ht="142.5" customHeight="1">
      <c r="A26" s="16" t="s">
        <v>382</v>
      </c>
      <c r="B26" s="16" t="s">
        <v>383</v>
      </c>
      <c r="C26" s="17" t="s">
        <v>384</v>
      </c>
      <c r="D26" s="18" t="s">
        <v>76</v>
      </c>
      <c r="E26" s="16" t="s">
        <v>385</v>
      </c>
      <c r="F26" s="16" t="s">
        <v>386</v>
      </c>
      <c r="G26" s="16">
        <v>33650000000</v>
      </c>
      <c r="H26" s="16" t="s">
        <v>387</v>
      </c>
      <c r="I26" s="19">
        <v>9.6142857142857192</v>
      </c>
      <c r="J26" s="16" t="s">
        <v>388</v>
      </c>
      <c r="K26" s="20" t="s">
        <v>102</v>
      </c>
      <c r="L26" s="16" t="s">
        <v>389</v>
      </c>
      <c r="M26" s="16"/>
      <c r="N26" s="16">
        <v>0.3</v>
      </c>
      <c r="O26" s="16" t="s">
        <v>172</v>
      </c>
      <c r="P26" s="20" t="s">
        <v>84</v>
      </c>
      <c r="Q26" s="20" t="s">
        <v>85</v>
      </c>
      <c r="R26" s="16" t="s">
        <v>105</v>
      </c>
      <c r="S26" s="16" t="s">
        <v>106</v>
      </c>
      <c r="T26" s="16" t="s">
        <v>348</v>
      </c>
      <c r="U26" s="16" t="s">
        <v>89</v>
      </c>
      <c r="V26" s="16" t="s">
        <v>108</v>
      </c>
      <c r="W26" s="16"/>
      <c r="X26" s="16"/>
      <c r="Y26" s="16"/>
      <c r="Z26" s="16"/>
      <c r="AA26" s="16"/>
      <c r="AB26" s="16"/>
      <c r="AC26" s="2" t="s">
        <v>390</v>
      </c>
      <c r="AD26" s="21">
        <v>9.6140165218230997</v>
      </c>
      <c r="AG26" s="23" t="s">
        <v>151</v>
      </c>
    </row>
    <row r="27" spans="1:33" ht="142.5" customHeight="1">
      <c r="A27" s="16" t="s">
        <v>391</v>
      </c>
      <c r="B27" s="16" t="s">
        <v>392</v>
      </c>
      <c r="C27" s="17" t="s">
        <v>393</v>
      </c>
      <c r="D27" s="18" t="s">
        <v>76</v>
      </c>
      <c r="E27" s="16" t="s">
        <v>394</v>
      </c>
      <c r="F27" s="16" t="s">
        <v>395</v>
      </c>
      <c r="G27" s="16">
        <v>221700000000000</v>
      </c>
      <c r="H27" s="16" t="s">
        <v>396</v>
      </c>
      <c r="I27" s="19">
        <v>54.0731707317073</v>
      </c>
      <c r="J27" s="16" t="s">
        <v>397</v>
      </c>
      <c r="K27" s="20" t="s">
        <v>102</v>
      </c>
      <c r="L27" s="16" t="s">
        <v>398</v>
      </c>
      <c r="M27" s="16"/>
      <c r="N27" s="16">
        <v>22</v>
      </c>
      <c r="O27" s="16" t="s">
        <v>172</v>
      </c>
      <c r="P27" s="20" t="s">
        <v>84</v>
      </c>
      <c r="Q27" s="20" t="s">
        <v>85</v>
      </c>
      <c r="R27" s="16" t="s">
        <v>105</v>
      </c>
      <c r="S27" s="16" t="s">
        <v>106</v>
      </c>
      <c r="T27" s="16" t="s">
        <v>264</v>
      </c>
      <c r="U27" s="16" t="s">
        <v>190</v>
      </c>
      <c r="V27" s="16" t="s">
        <v>265</v>
      </c>
      <c r="W27" s="16"/>
      <c r="X27" s="16">
        <v>19</v>
      </c>
      <c r="Y27" s="16" t="s">
        <v>122</v>
      </c>
      <c r="Z27" s="16" t="s">
        <v>279</v>
      </c>
      <c r="AA27" s="16" t="s">
        <v>81</v>
      </c>
      <c r="AB27" s="16" t="s">
        <v>399</v>
      </c>
      <c r="AC27" s="2" t="s">
        <v>400</v>
      </c>
      <c r="AD27" s="21">
        <v>70.189600200505794</v>
      </c>
      <c r="AG27" s="26" t="s">
        <v>207</v>
      </c>
    </row>
    <row r="28" spans="1:33" ht="128.25" customHeight="1">
      <c r="A28" s="16" t="s">
        <v>401</v>
      </c>
      <c r="B28" s="16" t="s">
        <v>402</v>
      </c>
      <c r="C28" s="17" t="s">
        <v>403</v>
      </c>
      <c r="D28" s="18" t="s">
        <v>76</v>
      </c>
      <c r="E28" s="16" t="s">
        <v>404</v>
      </c>
      <c r="F28" s="16" t="s">
        <v>405</v>
      </c>
      <c r="G28" s="16">
        <v>21062000000000</v>
      </c>
      <c r="H28" s="16" t="s">
        <v>406</v>
      </c>
      <c r="I28" s="19">
        <v>17.551666666666701</v>
      </c>
      <c r="J28" s="16" t="s">
        <v>407</v>
      </c>
      <c r="K28" s="18" t="s">
        <v>81</v>
      </c>
      <c r="L28" s="16" t="s">
        <v>408</v>
      </c>
      <c r="M28" s="16"/>
      <c r="N28" s="16">
        <v>8</v>
      </c>
      <c r="O28" s="16" t="s">
        <v>409</v>
      </c>
      <c r="P28" s="20" t="s">
        <v>84</v>
      </c>
      <c r="Q28" s="20" t="s">
        <v>85</v>
      </c>
      <c r="R28" s="16" t="s">
        <v>105</v>
      </c>
      <c r="S28" s="16" t="s">
        <v>106</v>
      </c>
      <c r="T28" s="16" t="s">
        <v>264</v>
      </c>
      <c r="U28" s="16" t="s">
        <v>89</v>
      </c>
      <c r="V28" s="16" t="s">
        <v>108</v>
      </c>
      <c r="W28" s="16"/>
      <c r="X28" s="16">
        <v>585</v>
      </c>
      <c r="Y28" s="16" t="s">
        <v>410</v>
      </c>
      <c r="Z28" s="16" t="s">
        <v>227</v>
      </c>
      <c r="AA28" s="16" t="s">
        <v>81</v>
      </c>
      <c r="AB28" s="16" t="s">
        <v>411</v>
      </c>
      <c r="AC28" s="2" t="s">
        <v>412</v>
      </c>
      <c r="AD28" s="21">
        <v>14.055993734798699</v>
      </c>
      <c r="AG28" s="23" t="s">
        <v>151</v>
      </c>
    </row>
    <row r="29" spans="1:33" ht="99.75" customHeight="1">
      <c r="A29" s="16" t="s">
        <v>413</v>
      </c>
      <c r="B29" s="16" t="s">
        <v>414</v>
      </c>
      <c r="C29" s="17" t="s">
        <v>415</v>
      </c>
      <c r="D29" s="18" t="s">
        <v>76</v>
      </c>
      <c r="E29" s="16" t="s">
        <v>416</v>
      </c>
      <c r="F29" s="16" t="s">
        <v>417</v>
      </c>
      <c r="G29" s="16">
        <v>114292000000</v>
      </c>
      <c r="H29" s="16" t="s">
        <v>418</v>
      </c>
      <c r="I29" s="19">
        <v>30.889729729729702</v>
      </c>
      <c r="J29" s="16" t="s">
        <v>132</v>
      </c>
      <c r="K29" s="18" t="s">
        <v>81</v>
      </c>
      <c r="L29" s="16" t="s">
        <v>419</v>
      </c>
      <c r="M29" s="16"/>
      <c r="N29" s="16">
        <v>14</v>
      </c>
      <c r="O29" s="16" t="s">
        <v>420</v>
      </c>
      <c r="P29" s="20" t="s">
        <v>84</v>
      </c>
      <c r="Q29" s="20" t="s">
        <v>85</v>
      </c>
      <c r="R29" s="16" t="s">
        <v>105</v>
      </c>
      <c r="S29" s="16" t="s">
        <v>106</v>
      </c>
      <c r="T29" s="16" t="s">
        <v>264</v>
      </c>
      <c r="U29" s="16" t="s">
        <v>89</v>
      </c>
      <c r="V29" s="16" t="s">
        <v>108</v>
      </c>
      <c r="W29" s="16"/>
      <c r="X29" s="16">
        <v>7</v>
      </c>
      <c r="Y29" s="16" t="s">
        <v>173</v>
      </c>
      <c r="Z29" s="16" t="s">
        <v>204</v>
      </c>
      <c r="AA29" s="16" t="s">
        <v>81</v>
      </c>
      <c r="AB29" s="16" t="s">
        <v>421</v>
      </c>
      <c r="AC29" s="2" t="s">
        <v>422</v>
      </c>
      <c r="AD29" s="21">
        <v>33.778094598880003</v>
      </c>
      <c r="AG29" s="26" t="s">
        <v>207</v>
      </c>
    </row>
    <row r="30" spans="1:33" ht="99.75" customHeight="1">
      <c r="A30" s="16" t="s">
        <v>423</v>
      </c>
      <c r="B30" s="16" t="s">
        <v>424</v>
      </c>
      <c r="C30" s="17" t="s">
        <v>425</v>
      </c>
      <c r="D30" s="18" t="s">
        <v>76</v>
      </c>
      <c r="E30" s="16" t="s">
        <v>426</v>
      </c>
      <c r="F30" s="16" t="s">
        <v>427</v>
      </c>
      <c r="G30" s="16">
        <v>21536300000000</v>
      </c>
      <c r="H30" s="16" t="s">
        <v>428</v>
      </c>
      <c r="I30" s="19">
        <v>22.669789473684201</v>
      </c>
      <c r="J30" s="16" t="s">
        <v>429</v>
      </c>
      <c r="K30" s="18" t="s">
        <v>81</v>
      </c>
      <c r="L30" s="16" t="s">
        <v>430</v>
      </c>
      <c r="M30" s="16"/>
      <c r="N30" s="16">
        <v>28</v>
      </c>
      <c r="O30" s="16" t="s">
        <v>431</v>
      </c>
      <c r="P30" s="20" t="s">
        <v>84</v>
      </c>
      <c r="Q30" s="20" t="s">
        <v>85</v>
      </c>
      <c r="R30" s="16" t="s">
        <v>188</v>
      </c>
      <c r="S30" s="16" t="s">
        <v>189</v>
      </c>
      <c r="T30" s="16" t="s">
        <v>264</v>
      </c>
      <c r="U30" s="16" t="s">
        <v>190</v>
      </c>
      <c r="V30" s="16" t="s">
        <v>432</v>
      </c>
      <c r="W30" s="16"/>
      <c r="X30" s="16">
        <v>7</v>
      </c>
      <c r="Y30" s="16" t="s">
        <v>433</v>
      </c>
      <c r="Z30" s="16" t="s">
        <v>279</v>
      </c>
      <c r="AA30" s="16" t="s">
        <v>81</v>
      </c>
      <c r="AB30" s="16" t="s">
        <v>434</v>
      </c>
      <c r="AC30" s="2" t="s">
        <v>435</v>
      </c>
      <c r="AD30" s="21">
        <v>23.565309510091499</v>
      </c>
      <c r="AG30" s="23" t="s">
        <v>151</v>
      </c>
    </row>
    <row r="31" spans="1:33" ht="99.75" customHeight="1">
      <c r="A31" s="16" t="s">
        <v>436</v>
      </c>
      <c r="B31" s="16" t="s">
        <v>437</v>
      </c>
      <c r="C31" s="17" t="s">
        <v>438</v>
      </c>
      <c r="D31" s="18" t="s">
        <v>76</v>
      </c>
      <c r="E31" s="16" t="s">
        <v>439</v>
      </c>
      <c r="F31" s="16" t="s">
        <v>440</v>
      </c>
      <c r="G31" s="16">
        <v>96300000000</v>
      </c>
      <c r="H31" s="16" t="s">
        <v>441</v>
      </c>
      <c r="I31" s="19">
        <v>2.0062500000000001</v>
      </c>
      <c r="J31" s="16" t="s">
        <v>101</v>
      </c>
      <c r="K31" s="20" t="s">
        <v>102</v>
      </c>
      <c r="L31" s="16" t="s">
        <v>442</v>
      </c>
      <c r="M31" s="16"/>
      <c r="N31" s="16">
        <v>9</v>
      </c>
      <c r="O31" s="16" t="s">
        <v>443</v>
      </c>
      <c r="P31" s="20" t="s">
        <v>84</v>
      </c>
      <c r="Q31" s="20" t="s">
        <v>85</v>
      </c>
      <c r="R31" s="16" t="s">
        <v>86</v>
      </c>
      <c r="S31" s="16" t="s">
        <v>87</v>
      </c>
      <c r="T31" s="16" t="s">
        <v>240</v>
      </c>
      <c r="U31" s="16" t="s">
        <v>89</v>
      </c>
      <c r="V31" s="16" t="s">
        <v>90</v>
      </c>
      <c r="W31" s="16"/>
      <c r="X31" s="16">
        <v>48</v>
      </c>
      <c r="Y31" s="16" t="s">
        <v>444</v>
      </c>
      <c r="Z31" s="16" t="s">
        <v>101</v>
      </c>
      <c r="AA31" s="16" t="s">
        <v>102</v>
      </c>
      <c r="AB31" s="16" t="s">
        <v>445</v>
      </c>
      <c r="AC31" s="10" t="s">
        <v>446</v>
      </c>
      <c r="AD31" s="21">
        <v>1.93305010435761</v>
      </c>
      <c r="AG31" s="22" t="s">
        <v>94</v>
      </c>
    </row>
    <row r="32" spans="1:33" ht="99.75" customHeight="1">
      <c r="A32" s="16" t="s">
        <v>447</v>
      </c>
      <c r="B32" s="16" t="s">
        <v>448</v>
      </c>
      <c r="C32" s="17" t="s">
        <v>449</v>
      </c>
      <c r="D32" s="18" t="s">
        <v>76</v>
      </c>
      <c r="E32" s="16" t="s">
        <v>450</v>
      </c>
      <c r="F32" s="16" t="s">
        <v>451</v>
      </c>
      <c r="G32" s="16">
        <v>99000000000</v>
      </c>
      <c r="H32" s="16" t="s">
        <v>452</v>
      </c>
      <c r="I32" s="19">
        <v>10.1020408163265</v>
      </c>
      <c r="J32" s="16" t="s">
        <v>101</v>
      </c>
      <c r="K32" s="18" t="s">
        <v>81</v>
      </c>
      <c r="L32" s="16" t="s">
        <v>453</v>
      </c>
      <c r="M32" s="16" t="s">
        <v>454</v>
      </c>
      <c r="N32" s="16">
        <v>12</v>
      </c>
      <c r="O32" s="16" t="s">
        <v>455</v>
      </c>
      <c r="P32" s="20" t="s">
        <v>84</v>
      </c>
      <c r="Q32" s="20" t="s">
        <v>85</v>
      </c>
      <c r="R32" s="16" t="s">
        <v>86</v>
      </c>
      <c r="S32" s="16" t="s">
        <v>87</v>
      </c>
      <c r="T32" s="16" t="s">
        <v>240</v>
      </c>
      <c r="U32" s="16" t="s">
        <v>89</v>
      </c>
      <c r="V32" s="16" t="s">
        <v>90</v>
      </c>
      <c r="W32" s="16"/>
      <c r="X32" s="16">
        <v>30</v>
      </c>
      <c r="Y32" s="16" t="s">
        <v>122</v>
      </c>
      <c r="Z32" s="16" t="s">
        <v>204</v>
      </c>
      <c r="AA32" s="16" t="s">
        <v>81</v>
      </c>
      <c r="AB32" s="16" t="s">
        <v>456</v>
      </c>
      <c r="AC32" s="2" t="s">
        <v>457</v>
      </c>
      <c r="AD32" s="21">
        <v>10.639110725094101</v>
      </c>
      <c r="AG32" s="22" t="s">
        <v>94</v>
      </c>
    </row>
    <row r="33" spans="1:33" ht="85.5" customHeight="1">
      <c r="A33" s="16" t="s">
        <v>447</v>
      </c>
      <c r="B33" s="16" t="s">
        <v>448</v>
      </c>
      <c r="C33" s="17" t="s">
        <v>460</v>
      </c>
      <c r="D33" s="27" t="s">
        <v>461</v>
      </c>
      <c r="E33" s="16"/>
      <c r="F33" s="16"/>
      <c r="G33" s="16"/>
      <c r="H33" s="16"/>
      <c r="I33" s="16"/>
      <c r="J33" s="16"/>
      <c r="K33" s="16"/>
      <c r="L33" s="16"/>
      <c r="M33" s="16"/>
      <c r="N33" s="16">
        <v>3</v>
      </c>
      <c r="O33" s="16" t="s">
        <v>370</v>
      </c>
      <c r="P33" s="20" t="s">
        <v>84</v>
      </c>
      <c r="Q33" s="20" t="s">
        <v>85</v>
      </c>
      <c r="R33" s="16" t="s">
        <v>105</v>
      </c>
      <c r="S33" s="16" t="s">
        <v>106</v>
      </c>
      <c r="T33" s="16" t="s">
        <v>240</v>
      </c>
      <c r="U33" s="16" t="s">
        <v>89</v>
      </c>
      <c r="V33" s="16" t="s">
        <v>108</v>
      </c>
      <c r="W33" s="16"/>
      <c r="X33" s="16">
        <v>8</v>
      </c>
      <c r="Y33" s="16" t="s">
        <v>462</v>
      </c>
      <c r="Z33" s="16" t="s">
        <v>463</v>
      </c>
      <c r="AA33" s="16" t="s">
        <v>81</v>
      </c>
      <c r="AB33" s="16" t="s">
        <v>464</v>
      </c>
      <c r="AC33" s="2" t="s">
        <v>465</v>
      </c>
      <c r="AG33" s="21" t="s">
        <v>466</v>
      </c>
    </row>
    <row r="34" spans="1:33" ht="142.5" customHeight="1">
      <c r="A34" s="16" t="s">
        <v>458</v>
      </c>
      <c r="B34" s="16" t="s">
        <v>459</v>
      </c>
      <c r="C34" s="17" t="s">
        <v>469</v>
      </c>
      <c r="D34" s="18" t="s">
        <v>76</v>
      </c>
      <c r="E34" s="16" t="s">
        <v>470</v>
      </c>
      <c r="F34" s="16" t="s">
        <v>471</v>
      </c>
      <c r="G34" s="16">
        <v>4469515000</v>
      </c>
      <c r="H34" s="16" t="s">
        <v>472</v>
      </c>
      <c r="I34" s="19">
        <v>1.4417790322580699</v>
      </c>
      <c r="J34" s="16" t="s">
        <v>161</v>
      </c>
      <c r="K34" s="18" t="s">
        <v>81</v>
      </c>
      <c r="L34" s="16" t="s">
        <v>473</v>
      </c>
      <c r="M34" s="16"/>
      <c r="N34" s="16">
        <v>4.5</v>
      </c>
      <c r="O34" s="16" t="s">
        <v>172</v>
      </c>
      <c r="P34" s="20" t="s">
        <v>84</v>
      </c>
      <c r="Q34" s="20" t="s">
        <v>85</v>
      </c>
      <c r="R34" s="16" t="s">
        <v>86</v>
      </c>
      <c r="S34" s="16" t="s">
        <v>87</v>
      </c>
      <c r="T34" s="16" t="s">
        <v>240</v>
      </c>
      <c r="U34" s="16" t="s">
        <v>89</v>
      </c>
      <c r="V34" s="16" t="s">
        <v>90</v>
      </c>
      <c r="W34" s="16"/>
      <c r="X34" s="16">
        <v>8</v>
      </c>
      <c r="Y34" s="16" t="s">
        <v>474</v>
      </c>
      <c r="Z34" s="16" t="s">
        <v>326</v>
      </c>
      <c r="AA34" s="16" t="s">
        <v>81</v>
      </c>
      <c r="AB34" s="16" t="s">
        <v>475</v>
      </c>
      <c r="AC34" s="2" t="s">
        <v>476</v>
      </c>
      <c r="AD34" s="21">
        <v>1.5310034435901001</v>
      </c>
      <c r="AG34" s="22" t="s">
        <v>94</v>
      </c>
    </row>
    <row r="35" spans="1:33" ht="85.5" customHeight="1">
      <c r="A35" s="16" t="s">
        <v>467</v>
      </c>
      <c r="B35" s="16" t="s">
        <v>468</v>
      </c>
      <c r="C35" s="17" t="s">
        <v>479</v>
      </c>
      <c r="D35" s="18" t="s">
        <v>76</v>
      </c>
      <c r="E35" s="16" t="s">
        <v>480</v>
      </c>
      <c r="F35" s="16" t="s">
        <v>481</v>
      </c>
      <c r="G35" s="16">
        <v>17108000000</v>
      </c>
      <c r="H35" s="16" t="s">
        <v>482</v>
      </c>
      <c r="I35" s="19">
        <v>3.0727230274619699</v>
      </c>
      <c r="J35" s="16" t="s">
        <v>204</v>
      </c>
      <c r="K35" s="18" t="s">
        <v>81</v>
      </c>
      <c r="L35" s="16" t="s">
        <v>483</v>
      </c>
      <c r="M35" s="16"/>
      <c r="N35" s="16">
        <v>0.4</v>
      </c>
      <c r="O35" s="16" t="s">
        <v>370</v>
      </c>
      <c r="P35" s="20" t="s">
        <v>84</v>
      </c>
      <c r="Q35" s="20" t="s">
        <v>85</v>
      </c>
      <c r="R35" s="16" t="s">
        <v>105</v>
      </c>
      <c r="S35" s="16" t="s">
        <v>106</v>
      </c>
      <c r="T35" s="16" t="s">
        <v>240</v>
      </c>
      <c r="U35" s="16" t="s">
        <v>89</v>
      </c>
      <c r="V35" s="16" t="s">
        <v>108</v>
      </c>
      <c r="W35" s="16"/>
      <c r="X35" s="16"/>
      <c r="Y35" s="16"/>
      <c r="Z35" s="16"/>
      <c r="AA35" s="16"/>
      <c r="AB35" s="16"/>
      <c r="AC35" s="10" t="s">
        <v>484</v>
      </c>
      <c r="AD35" s="21">
        <v>2.6893104468424198</v>
      </c>
      <c r="AG35" s="23" t="s">
        <v>151</v>
      </c>
    </row>
    <row r="36" spans="1:33" ht="171" customHeight="1">
      <c r="A36" s="16" t="s">
        <v>477</v>
      </c>
      <c r="B36" s="16" t="s">
        <v>478</v>
      </c>
      <c r="C36" s="17" t="s">
        <v>487</v>
      </c>
      <c r="D36" s="27" t="s">
        <v>461</v>
      </c>
      <c r="E36" s="16"/>
      <c r="F36" s="16"/>
      <c r="G36" s="16"/>
      <c r="H36" s="16"/>
      <c r="I36" s="16"/>
      <c r="J36" s="16"/>
      <c r="K36" s="16"/>
      <c r="L36" s="16"/>
      <c r="M36" s="16"/>
      <c r="N36" s="16">
        <v>0.3</v>
      </c>
      <c r="O36" s="16" t="s">
        <v>370</v>
      </c>
      <c r="P36" s="20" t="s">
        <v>84</v>
      </c>
      <c r="Q36" s="20" t="s">
        <v>85</v>
      </c>
      <c r="R36" s="16" t="s">
        <v>488</v>
      </c>
      <c r="S36" s="16" t="s">
        <v>489</v>
      </c>
      <c r="T36" s="16" t="s">
        <v>291</v>
      </c>
      <c r="U36" s="16" t="s">
        <v>89</v>
      </c>
      <c r="V36" s="16" t="s">
        <v>490</v>
      </c>
      <c r="W36" s="16"/>
      <c r="X36" s="16">
        <v>51</v>
      </c>
      <c r="Y36" s="16" t="s">
        <v>491</v>
      </c>
      <c r="Z36" s="16" t="s">
        <v>492</v>
      </c>
      <c r="AA36" s="16" t="s">
        <v>102</v>
      </c>
      <c r="AB36" s="16" t="s">
        <v>493</v>
      </c>
      <c r="AC36" s="2" t="s">
        <v>494</v>
      </c>
      <c r="AG36" s="21" t="s">
        <v>466</v>
      </c>
    </row>
    <row r="37" spans="1:33" ht="156.75" customHeight="1">
      <c r="A37" s="16" t="s">
        <v>485</v>
      </c>
      <c r="B37" s="16" t="s">
        <v>486</v>
      </c>
      <c r="C37" s="17" t="s">
        <v>497</v>
      </c>
      <c r="D37" s="18" t="s">
        <v>76</v>
      </c>
      <c r="E37" s="16" t="s">
        <v>498</v>
      </c>
      <c r="F37" s="16" t="s">
        <v>499</v>
      </c>
      <c r="G37" s="16">
        <v>102700000000</v>
      </c>
      <c r="H37" s="16" t="s">
        <v>500</v>
      </c>
      <c r="I37" s="19">
        <v>27.386666666666699</v>
      </c>
      <c r="J37" s="16" t="s">
        <v>337</v>
      </c>
      <c r="K37" s="18" t="s">
        <v>81</v>
      </c>
      <c r="L37" s="16" t="s">
        <v>501</v>
      </c>
      <c r="M37" s="16" t="s">
        <v>502</v>
      </c>
      <c r="N37" s="16">
        <v>55</v>
      </c>
      <c r="O37" s="16" t="s">
        <v>503</v>
      </c>
      <c r="P37" s="20" t="s">
        <v>84</v>
      </c>
      <c r="Q37" s="20" t="s">
        <v>85</v>
      </c>
      <c r="R37" s="16" t="s">
        <v>188</v>
      </c>
      <c r="S37" s="16" t="s">
        <v>189</v>
      </c>
      <c r="T37" s="16" t="s">
        <v>240</v>
      </c>
      <c r="U37" s="16" t="s">
        <v>89</v>
      </c>
      <c r="V37" s="16" t="s">
        <v>504</v>
      </c>
      <c r="W37" s="16"/>
      <c r="X37" s="16">
        <v>78</v>
      </c>
      <c r="Y37" s="16" t="s">
        <v>505</v>
      </c>
      <c r="Z37" s="16" t="s">
        <v>506</v>
      </c>
      <c r="AA37" s="16" t="s">
        <v>102</v>
      </c>
      <c r="AB37" s="16" t="s">
        <v>507</v>
      </c>
      <c r="AC37" s="2" t="s">
        <v>508</v>
      </c>
      <c r="AD37" s="21">
        <v>27.386666666666699</v>
      </c>
      <c r="AG37" s="22" t="s">
        <v>94</v>
      </c>
    </row>
    <row r="38" spans="1:33" ht="156.75" customHeight="1">
      <c r="A38" s="16" t="s">
        <v>509</v>
      </c>
      <c r="B38" s="16" t="s">
        <v>510</v>
      </c>
      <c r="C38" s="17" t="s">
        <v>511</v>
      </c>
      <c r="D38" s="18" t="s">
        <v>76</v>
      </c>
      <c r="E38" s="16" t="s">
        <v>512</v>
      </c>
      <c r="F38" s="16" t="s">
        <v>513</v>
      </c>
      <c r="G38" s="16">
        <v>567900000000</v>
      </c>
      <c r="H38" s="16" t="s">
        <v>514</v>
      </c>
      <c r="I38" s="19">
        <v>154.63580667120499</v>
      </c>
      <c r="J38" s="16" t="s">
        <v>101</v>
      </c>
      <c r="K38" s="18" t="s">
        <v>81</v>
      </c>
      <c r="L38" s="16" t="s">
        <v>515</v>
      </c>
      <c r="M38" s="16" t="s">
        <v>516</v>
      </c>
      <c r="N38" s="16">
        <v>45</v>
      </c>
      <c r="O38" s="16" t="s">
        <v>517</v>
      </c>
      <c r="P38" s="20" t="s">
        <v>84</v>
      </c>
      <c r="Q38" s="20" t="s">
        <v>85</v>
      </c>
      <c r="R38" s="16" t="s">
        <v>188</v>
      </c>
      <c r="S38" s="16" t="s">
        <v>189</v>
      </c>
      <c r="T38" s="16" t="s">
        <v>240</v>
      </c>
      <c r="U38" s="16" t="s">
        <v>89</v>
      </c>
      <c r="V38" s="16" t="s">
        <v>504</v>
      </c>
      <c r="W38" s="16"/>
      <c r="X38" s="16">
        <v>21</v>
      </c>
      <c r="Y38" s="16" t="s">
        <v>518</v>
      </c>
      <c r="Z38" s="16" t="s">
        <v>132</v>
      </c>
      <c r="AA38" s="16" t="s">
        <v>81</v>
      </c>
      <c r="AB38" s="16" t="s">
        <v>519</v>
      </c>
      <c r="AC38" s="2" t="s">
        <v>520</v>
      </c>
      <c r="AD38" s="21">
        <v>154.63580667120499</v>
      </c>
      <c r="AG38" s="23" t="s">
        <v>151</v>
      </c>
    </row>
    <row r="39" spans="1:33" ht="99.75" customHeight="1">
      <c r="A39" s="16" t="s">
        <v>521</v>
      </c>
      <c r="B39" s="16" t="s">
        <v>522</v>
      </c>
      <c r="C39" s="17" t="s">
        <v>523</v>
      </c>
      <c r="D39" s="18" t="s">
        <v>76</v>
      </c>
      <c r="E39" s="16" t="s">
        <v>524</v>
      </c>
      <c r="F39" s="16" t="s">
        <v>525</v>
      </c>
      <c r="G39" s="16">
        <f>AE39-AF39</f>
        <v>3009600000</v>
      </c>
      <c r="H39" s="16" t="s">
        <v>221</v>
      </c>
      <c r="I39" s="19">
        <v>7.9830238726790501</v>
      </c>
      <c r="J39" s="16" t="s">
        <v>136</v>
      </c>
      <c r="K39" s="18" t="s">
        <v>81</v>
      </c>
      <c r="L39" s="16" t="s">
        <v>526</v>
      </c>
      <c r="M39" s="16"/>
      <c r="N39" s="16">
        <v>4</v>
      </c>
      <c r="O39" s="16" t="s">
        <v>527</v>
      </c>
      <c r="P39" s="20" t="s">
        <v>84</v>
      </c>
      <c r="Q39" s="20" t="s">
        <v>85</v>
      </c>
      <c r="R39" s="16" t="s">
        <v>188</v>
      </c>
      <c r="S39" s="16" t="s">
        <v>189</v>
      </c>
      <c r="T39" s="16" t="s">
        <v>240</v>
      </c>
      <c r="U39" s="16" t="s">
        <v>89</v>
      </c>
      <c r="V39" s="16" t="s">
        <v>504</v>
      </c>
      <c r="W39" s="16"/>
      <c r="X39" s="16">
        <v>7</v>
      </c>
      <c r="Y39" s="16" t="s">
        <v>528</v>
      </c>
      <c r="Z39" s="16" t="s">
        <v>529</v>
      </c>
      <c r="AA39" s="16" t="s">
        <v>81</v>
      </c>
      <c r="AB39" s="16" t="s">
        <v>530</v>
      </c>
      <c r="AC39" s="10" t="s">
        <v>531</v>
      </c>
      <c r="AD39" s="21">
        <v>8.0042553191489407</v>
      </c>
      <c r="AE39" s="24">
        <v>6103500000</v>
      </c>
      <c r="AF39" s="24">
        <v>3093900000</v>
      </c>
      <c r="AG39" s="23" t="s">
        <v>151</v>
      </c>
    </row>
    <row r="40" spans="1:33" ht="270.75" customHeight="1">
      <c r="A40" s="16" t="s">
        <v>532</v>
      </c>
      <c r="B40" s="16" t="s">
        <v>533</v>
      </c>
      <c r="C40" s="17" t="s">
        <v>534</v>
      </c>
      <c r="D40" s="18" t="s">
        <v>76</v>
      </c>
      <c r="E40" s="16" t="s">
        <v>480</v>
      </c>
      <c r="F40" s="16" t="s">
        <v>524</v>
      </c>
      <c r="G40" s="16">
        <v>114700000000</v>
      </c>
      <c r="H40" s="16" t="s">
        <v>535</v>
      </c>
      <c r="I40" s="19">
        <v>31.510989010989</v>
      </c>
      <c r="J40" s="16" t="s">
        <v>536</v>
      </c>
      <c r="K40" s="20" t="s">
        <v>102</v>
      </c>
      <c r="L40" s="16" t="s">
        <v>537</v>
      </c>
      <c r="M40" s="16"/>
      <c r="N40" s="16">
        <v>12</v>
      </c>
      <c r="O40" s="16" t="s">
        <v>370</v>
      </c>
      <c r="P40" s="20" t="s">
        <v>84</v>
      </c>
      <c r="Q40" s="20" t="s">
        <v>85</v>
      </c>
      <c r="R40" s="16" t="s">
        <v>188</v>
      </c>
      <c r="S40" s="16" t="s">
        <v>189</v>
      </c>
      <c r="T40" s="16" t="s">
        <v>240</v>
      </c>
      <c r="U40" s="16" t="s">
        <v>89</v>
      </c>
      <c r="V40" s="16" t="s">
        <v>504</v>
      </c>
      <c r="W40" s="16"/>
      <c r="X40" s="16">
        <v>3</v>
      </c>
      <c r="Y40" s="16" t="s">
        <v>538</v>
      </c>
      <c r="Z40" s="16" t="s">
        <v>539</v>
      </c>
      <c r="AA40" s="16" t="s">
        <v>102</v>
      </c>
      <c r="AB40" s="16" t="s">
        <v>540</v>
      </c>
      <c r="AC40" s="2" t="s">
        <v>541</v>
      </c>
      <c r="AD40" s="21">
        <v>31.510989010989</v>
      </c>
      <c r="AG40" s="23" t="s">
        <v>151</v>
      </c>
    </row>
    <row r="41" spans="1:33" ht="99.75" customHeight="1">
      <c r="A41" s="16" t="s">
        <v>542</v>
      </c>
      <c r="B41" s="16" t="s">
        <v>543</v>
      </c>
      <c r="C41" s="17" t="s">
        <v>544</v>
      </c>
      <c r="D41" s="18" t="s">
        <v>76</v>
      </c>
      <c r="E41" s="16" t="s">
        <v>545</v>
      </c>
      <c r="F41" s="16" t="s">
        <v>546</v>
      </c>
      <c r="G41" s="16">
        <v>2070200000</v>
      </c>
      <c r="H41" s="16" t="s">
        <v>547</v>
      </c>
      <c r="I41" s="19">
        <v>6.7214285714285698</v>
      </c>
      <c r="J41" s="16" t="s">
        <v>548</v>
      </c>
      <c r="K41" s="18" t="s">
        <v>81</v>
      </c>
      <c r="L41" s="16" t="s">
        <v>549</v>
      </c>
      <c r="M41" s="16"/>
      <c r="N41" s="16">
        <v>15</v>
      </c>
      <c r="O41" s="16" t="s">
        <v>550</v>
      </c>
      <c r="P41" s="20" t="s">
        <v>84</v>
      </c>
      <c r="Q41" s="20" t="s">
        <v>85</v>
      </c>
      <c r="R41" s="16" t="s">
        <v>188</v>
      </c>
      <c r="S41" s="16" t="s">
        <v>189</v>
      </c>
      <c r="T41" s="16" t="s">
        <v>240</v>
      </c>
      <c r="U41" s="16" t="s">
        <v>89</v>
      </c>
      <c r="V41" s="16" t="s">
        <v>504</v>
      </c>
      <c r="W41" s="16"/>
      <c r="X41" s="16">
        <v>2</v>
      </c>
      <c r="Y41" s="16" t="s">
        <v>551</v>
      </c>
      <c r="Z41" s="16" t="s">
        <v>552</v>
      </c>
      <c r="AA41" s="16" t="s">
        <v>81</v>
      </c>
      <c r="AB41" s="16" t="s">
        <v>553</v>
      </c>
      <c r="AC41" s="2" t="s">
        <v>554</v>
      </c>
      <c r="AD41" s="21">
        <v>6.7162169615136298</v>
      </c>
      <c r="AG41" s="23" t="s">
        <v>151</v>
      </c>
    </row>
    <row r="42" spans="1:33" ht="142.5" customHeight="1">
      <c r="A42" s="16" t="s">
        <v>555</v>
      </c>
      <c r="B42" s="16" t="s">
        <v>38</v>
      </c>
      <c r="C42" s="17" t="s">
        <v>556</v>
      </c>
      <c r="D42" s="18" t="s">
        <v>76</v>
      </c>
      <c r="E42" s="16" t="s">
        <v>557</v>
      </c>
      <c r="F42" s="16" t="s">
        <v>558</v>
      </c>
      <c r="G42" s="16">
        <v>32200000000</v>
      </c>
      <c r="H42" s="16" t="s">
        <v>559</v>
      </c>
      <c r="I42" s="19">
        <v>32.200000000000003</v>
      </c>
      <c r="J42" s="16" t="s">
        <v>157</v>
      </c>
      <c r="K42" s="20" t="s">
        <v>102</v>
      </c>
      <c r="L42" s="16" t="s">
        <v>560</v>
      </c>
      <c r="M42" s="16"/>
      <c r="N42" s="16">
        <v>5</v>
      </c>
      <c r="O42" s="16" t="s">
        <v>172</v>
      </c>
      <c r="P42" s="20" t="s">
        <v>84</v>
      </c>
      <c r="Q42" s="20" t="s">
        <v>85</v>
      </c>
      <c r="R42" s="16" t="s">
        <v>188</v>
      </c>
      <c r="S42" s="16" t="s">
        <v>189</v>
      </c>
      <c r="T42" s="16" t="s">
        <v>240</v>
      </c>
      <c r="U42" s="16" t="s">
        <v>89</v>
      </c>
      <c r="V42" s="16" t="s">
        <v>504</v>
      </c>
      <c r="W42" s="16"/>
      <c r="X42" s="16">
        <v>5</v>
      </c>
      <c r="Y42" s="16" t="s">
        <v>561</v>
      </c>
      <c r="Z42" s="16" t="s">
        <v>136</v>
      </c>
      <c r="AA42" s="16" t="s">
        <v>102</v>
      </c>
      <c r="AB42" s="16" t="s">
        <v>562</v>
      </c>
      <c r="AC42" s="2" t="s">
        <v>563</v>
      </c>
      <c r="AD42" s="21">
        <v>32.200000000000003</v>
      </c>
      <c r="AG42" s="23" t="s">
        <v>151</v>
      </c>
    </row>
    <row r="43" spans="1:33" ht="185.25" customHeight="1">
      <c r="A43" s="16" t="s">
        <v>564</v>
      </c>
      <c r="B43" s="16" t="s">
        <v>565</v>
      </c>
      <c r="C43" s="17" t="s">
        <v>566</v>
      </c>
      <c r="D43" s="18" t="s">
        <v>76</v>
      </c>
      <c r="E43" s="16" t="s">
        <v>567</v>
      </c>
      <c r="F43" s="16" t="s">
        <v>568</v>
      </c>
      <c r="G43" s="16">
        <v>257500000</v>
      </c>
      <c r="H43" s="16" t="s">
        <v>569</v>
      </c>
      <c r="I43" s="19">
        <v>0.36318758815232699</v>
      </c>
      <c r="J43" s="16" t="s">
        <v>204</v>
      </c>
      <c r="K43" s="20" t="s">
        <v>102</v>
      </c>
      <c r="L43" s="16" t="s">
        <v>570</v>
      </c>
      <c r="M43" s="16"/>
      <c r="N43" s="16">
        <v>6</v>
      </c>
      <c r="O43" s="16" t="s">
        <v>172</v>
      </c>
      <c r="P43" s="20" t="s">
        <v>84</v>
      </c>
      <c r="Q43" s="20" t="s">
        <v>85</v>
      </c>
      <c r="R43" s="16" t="s">
        <v>105</v>
      </c>
      <c r="S43" s="16" t="s">
        <v>106</v>
      </c>
      <c r="T43" s="16" t="s">
        <v>240</v>
      </c>
      <c r="U43" s="16" t="s">
        <v>89</v>
      </c>
      <c r="V43" s="16" t="s">
        <v>108</v>
      </c>
      <c r="W43" s="16"/>
      <c r="X43" s="16">
        <v>13</v>
      </c>
      <c r="Y43" s="16" t="s">
        <v>571</v>
      </c>
      <c r="Z43" s="16" t="s">
        <v>279</v>
      </c>
      <c r="AA43" s="16" t="s">
        <v>81</v>
      </c>
      <c r="AB43" s="16" t="s">
        <v>572</v>
      </c>
      <c r="AC43" s="2" t="s">
        <v>573</v>
      </c>
      <c r="AD43" s="21">
        <v>0.36318758815232699</v>
      </c>
      <c r="AG43" s="22" t="s">
        <v>94</v>
      </c>
    </row>
    <row r="44" spans="1:33" ht="85.5" customHeight="1">
      <c r="A44" s="16" t="s">
        <v>574</v>
      </c>
      <c r="B44" s="16" t="s">
        <v>575</v>
      </c>
      <c r="C44" s="17" t="s">
        <v>576</v>
      </c>
      <c r="D44" s="27" t="s">
        <v>461</v>
      </c>
      <c r="E44" s="16"/>
      <c r="F44" s="16"/>
      <c r="G44" s="16"/>
      <c r="H44" s="16"/>
      <c r="I44" s="16"/>
      <c r="J44" s="16"/>
      <c r="K44" s="16"/>
      <c r="L44" s="16"/>
      <c r="M44" s="16"/>
      <c r="N44" s="16">
        <v>0.5</v>
      </c>
      <c r="O44" s="16" t="s">
        <v>370</v>
      </c>
      <c r="P44" s="20" t="s">
        <v>84</v>
      </c>
      <c r="Q44" s="20" t="s">
        <v>85</v>
      </c>
      <c r="R44" s="16" t="s">
        <v>86</v>
      </c>
      <c r="S44" s="16" t="s">
        <v>87</v>
      </c>
      <c r="T44" s="16" t="s">
        <v>240</v>
      </c>
      <c r="U44" s="16" t="s">
        <v>89</v>
      </c>
      <c r="V44" s="16" t="s">
        <v>90</v>
      </c>
      <c r="W44" s="16"/>
      <c r="X44" s="16">
        <v>48</v>
      </c>
      <c r="Y44" s="16" t="s">
        <v>577</v>
      </c>
      <c r="Z44" s="16" t="s">
        <v>578</v>
      </c>
      <c r="AA44" s="16" t="s">
        <v>102</v>
      </c>
      <c r="AB44" s="16" t="s">
        <v>579</v>
      </c>
      <c r="AC44" s="2" t="s">
        <v>494</v>
      </c>
      <c r="AG44" s="21" t="s">
        <v>466</v>
      </c>
    </row>
    <row r="45" spans="1:33" ht="85.5" customHeight="1">
      <c r="A45" s="16" t="s">
        <v>580</v>
      </c>
      <c r="B45" s="16" t="s">
        <v>581</v>
      </c>
      <c r="C45" s="17" t="s">
        <v>582</v>
      </c>
      <c r="D45" s="27" t="s">
        <v>461</v>
      </c>
      <c r="E45" s="16"/>
      <c r="F45" s="16"/>
      <c r="G45" s="16"/>
      <c r="H45" s="16"/>
      <c r="I45" s="16"/>
      <c r="J45" s="16"/>
      <c r="K45" s="16"/>
      <c r="L45" s="16"/>
      <c r="M45" s="16"/>
      <c r="N45" s="16">
        <v>1.5</v>
      </c>
      <c r="O45" s="16" t="s">
        <v>370</v>
      </c>
      <c r="P45" s="20" t="s">
        <v>84</v>
      </c>
      <c r="Q45" s="20" t="s">
        <v>85</v>
      </c>
      <c r="R45" s="16" t="s">
        <v>105</v>
      </c>
      <c r="S45" s="16" t="s">
        <v>106</v>
      </c>
      <c r="T45" s="16" t="s">
        <v>240</v>
      </c>
      <c r="U45" s="16" t="s">
        <v>89</v>
      </c>
      <c r="V45" s="16" t="s">
        <v>108</v>
      </c>
      <c r="W45" s="16"/>
      <c r="X45" s="16">
        <v>2</v>
      </c>
      <c r="Y45" s="16" t="s">
        <v>583</v>
      </c>
      <c r="Z45" s="16" t="s">
        <v>279</v>
      </c>
      <c r="AA45" s="16" t="s">
        <v>81</v>
      </c>
      <c r="AB45" s="16" t="s">
        <v>584</v>
      </c>
      <c r="AC45" s="2" t="s">
        <v>494</v>
      </c>
      <c r="AG45" s="21" t="s">
        <v>466</v>
      </c>
    </row>
    <row r="46" spans="1:33" ht="114" customHeight="1">
      <c r="A46" s="16" t="s">
        <v>585</v>
      </c>
      <c r="B46" s="16" t="s">
        <v>586</v>
      </c>
      <c r="C46" s="17" t="s">
        <v>587</v>
      </c>
      <c r="D46" s="18" t="s">
        <v>76</v>
      </c>
      <c r="E46" s="16" t="s">
        <v>588</v>
      </c>
      <c r="F46" s="16" t="s">
        <v>589</v>
      </c>
      <c r="G46" s="16">
        <v>43600000000</v>
      </c>
      <c r="H46" s="16" t="s">
        <v>590</v>
      </c>
      <c r="I46" s="19">
        <v>13.2121212121212</v>
      </c>
      <c r="J46" s="16" t="s">
        <v>337</v>
      </c>
      <c r="K46" s="18" t="s">
        <v>81</v>
      </c>
      <c r="L46" s="16" t="s">
        <v>591</v>
      </c>
      <c r="M46" s="16" t="s">
        <v>592</v>
      </c>
      <c r="N46" s="16">
        <v>35</v>
      </c>
      <c r="O46" s="16" t="s">
        <v>593</v>
      </c>
      <c r="P46" s="25" t="s">
        <v>186</v>
      </c>
      <c r="Q46" s="25" t="s">
        <v>187</v>
      </c>
      <c r="R46" s="16" t="s">
        <v>188</v>
      </c>
      <c r="S46" s="16" t="s">
        <v>189</v>
      </c>
      <c r="T46" s="16" t="s">
        <v>240</v>
      </c>
      <c r="U46" s="16" t="s">
        <v>190</v>
      </c>
      <c r="V46" s="16" t="s">
        <v>191</v>
      </c>
      <c r="W46" s="16"/>
      <c r="X46" s="16">
        <v>784</v>
      </c>
      <c r="Y46" s="16" t="s">
        <v>594</v>
      </c>
      <c r="Z46" s="16" t="s">
        <v>539</v>
      </c>
      <c r="AA46" s="16" t="s">
        <v>81</v>
      </c>
      <c r="AB46" s="16" t="s">
        <v>595</v>
      </c>
      <c r="AC46" s="2" t="s">
        <v>596</v>
      </c>
      <c r="AD46" s="21">
        <v>14.539721117477599</v>
      </c>
      <c r="AG46" s="22" t="s">
        <v>94</v>
      </c>
    </row>
    <row r="47" spans="1:33" ht="85.5" customHeight="1">
      <c r="A47" s="16" t="s">
        <v>597</v>
      </c>
      <c r="B47" s="16" t="s">
        <v>598</v>
      </c>
      <c r="C47" s="17" t="s">
        <v>599</v>
      </c>
      <c r="D47" s="18" t="s">
        <v>76</v>
      </c>
      <c r="E47" s="16" t="s">
        <v>480</v>
      </c>
      <c r="F47" s="16" t="s">
        <v>600</v>
      </c>
      <c r="G47" s="16">
        <f>AE47-AF47</f>
        <v>3110000000</v>
      </c>
      <c r="H47" s="16" t="s">
        <v>559</v>
      </c>
      <c r="I47" s="19">
        <v>3.11</v>
      </c>
      <c r="J47" s="16" t="s">
        <v>101</v>
      </c>
      <c r="K47" s="20" t="s">
        <v>102</v>
      </c>
      <c r="L47" s="16" t="s">
        <v>601</v>
      </c>
      <c r="M47" s="16"/>
      <c r="N47" s="16">
        <v>0.4</v>
      </c>
      <c r="O47" s="16" t="s">
        <v>370</v>
      </c>
      <c r="P47" s="20" t="s">
        <v>84</v>
      </c>
      <c r="Q47" s="20" t="s">
        <v>85</v>
      </c>
      <c r="R47" s="16" t="s">
        <v>86</v>
      </c>
      <c r="S47" s="16" t="s">
        <v>87</v>
      </c>
      <c r="T47" s="16" t="s">
        <v>240</v>
      </c>
      <c r="U47" s="16" t="s">
        <v>89</v>
      </c>
      <c r="V47" s="16" t="s">
        <v>90</v>
      </c>
      <c r="W47" s="16"/>
      <c r="X47" s="16">
        <v>9</v>
      </c>
      <c r="Y47" s="16" t="s">
        <v>602</v>
      </c>
      <c r="Z47" s="16" t="s">
        <v>326</v>
      </c>
      <c r="AA47" s="16" t="s">
        <v>102</v>
      </c>
      <c r="AB47" s="16" t="s">
        <v>603</v>
      </c>
      <c r="AC47" s="10" t="s">
        <v>604</v>
      </c>
      <c r="AD47" s="21">
        <v>3.11</v>
      </c>
      <c r="AE47" s="24">
        <v>4190000000</v>
      </c>
      <c r="AF47" s="24">
        <v>1080000000</v>
      </c>
      <c r="AG47" s="23" t="s">
        <v>151</v>
      </c>
    </row>
    <row r="48" spans="1:33" ht="99.75" customHeight="1">
      <c r="A48" s="16" t="s">
        <v>605</v>
      </c>
      <c r="B48" s="16" t="s">
        <v>606</v>
      </c>
      <c r="C48" s="17" t="s">
        <v>607</v>
      </c>
      <c r="D48" s="18" t="s">
        <v>76</v>
      </c>
      <c r="E48" s="16" t="s">
        <v>608</v>
      </c>
      <c r="F48" s="16" t="s">
        <v>609</v>
      </c>
      <c r="G48" s="16">
        <v>2407042000000</v>
      </c>
      <c r="H48" s="16" t="s">
        <v>610</v>
      </c>
      <c r="I48" s="19">
        <v>53.264925868554997</v>
      </c>
      <c r="J48" s="16" t="s">
        <v>611</v>
      </c>
      <c r="K48" s="18" t="s">
        <v>81</v>
      </c>
      <c r="L48" s="16" t="s">
        <v>612</v>
      </c>
      <c r="M48" s="16"/>
      <c r="N48" s="16">
        <v>40</v>
      </c>
      <c r="O48" s="16" t="s">
        <v>613</v>
      </c>
      <c r="P48" s="20" t="s">
        <v>84</v>
      </c>
      <c r="Q48" s="20" t="s">
        <v>85</v>
      </c>
      <c r="R48" s="16" t="s">
        <v>105</v>
      </c>
      <c r="S48" s="16" t="s">
        <v>106</v>
      </c>
      <c r="T48" s="16" t="s">
        <v>348</v>
      </c>
      <c r="U48" s="16" t="s">
        <v>190</v>
      </c>
      <c r="V48" s="16" t="s">
        <v>265</v>
      </c>
      <c r="W48" s="16"/>
      <c r="X48" s="16">
        <v>24</v>
      </c>
      <c r="Y48" s="16" t="s">
        <v>173</v>
      </c>
      <c r="Z48" s="16" t="s">
        <v>326</v>
      </c>
      <c r="AA48" s="16" t="s">
        <v>81</v>
      </c>
      <c r="AB48" s="16" t="s">
        <v>614</v>
      </c>
      <c r="AC48" s="10" t="s">
        <v>615</v>
      </c>
      <c r="AD48" s="21">
        <v>50.4559401766912</v>
      </c>
      <c r="AG48" s="23" t="s">
        <v>151</v>
      </c>
    </row>
    <row r="49" spans="1:33" ht="85.5" customHeight="1">
      <c r="A49" s="16" t="s">
        <v>616</v>
      </c>
      <c r="B49" s="16" t="s">
        <v>617</v>
      </c>
      <c r="C49" s="17" t="s">
        <v>618</v>
      </c>
      <c r="D49" s="18" t="s">
        <v>76</v>
      </c>
      <c r="E49" s="16" t="s">
        <v>480</v>
      </c>
      <c r="F49" s="16" t="s">
        <v>619</v>
      </c>
      <c r="G49" s="16">
        <v>2094500000000</v>
      </c>
      <c r="H49" s="16" t="s">
        <v>620</v>
      </c>
      <c r="I49" s="19">
        <v>0.946581100013558</v>
      </c>
      <c r="J49" s="16" t="s">
        <v>536</v>
      </c>
      <c r="K49" s="18" t="s">
        <v>81</v>
      </c>
      <c r="L49" s="16" t="s">
        <v>621</v>
      </c>
      <c r="M49" s="16"/>
      <c r="N49" s="16">
        <v>0.2</v>
      </c>
      <c r="O49" s="16" t="s">
        <v>370</v>
      </c>
      <c r="P49" s="20" t="s">
        <v>84</v>
      </c>
      <c r="Q49" s="20" t="s">
        <v>85</v>
      </c>
      <c r="R49" s="16" t="s">
        <v>488</v>
      </c>
      <c r="S49" s="16" t="s">
        <v>489</v>
      </c>
      <c r="T49" s="16" t="s">
        <v>240</v>
      </c>
      <c r="U49" s="16" t="s">
        <v>89</v>
      </c>
      <c r="V49" s="16" t="s">
        <v>490</v>
      </c>
      <c r="W49" s="16"/>
      <c r="X49" s="16">
        <v>13</v>
      </c>
      <c r="Y49" s="16" t="s">
        <v>622</v>
      </c>
      <c r="Z49" s="16" t="s">
        <v>279</v>
      </c>
      <c r="AA49" s="16" t="s">
        <v>81</v>
      </c>
      <c r="AB49" s="16" t="s">
        <v>623</v>
      </c>
      <c r="AC49" s="10" t="s">
        <v>624</v>
      </c>
      <c r="AD49" s="21">
        <v>1.36449511400651</v>
      </c>
      <c r="AG49" s="23" t="s">
        <v>151</v>
      </c>
    </row>
    <row r="50" spans="1:33" ht="85.5" customHeight="1">
      <c r="A50" s="16" t="s">
        <v>625</v>
      </c>
      <c r="B50" s="16" t="s">
        <v>626</v>
      </c>
      <c r="C50" s="17" t="s">
        <v>627</v>
      </c>
      <c r="D50" s="27" t="s">
        <v>461</v>
      </c>
      <c r="E50" s="16"/>
      <c r="F50" s="16"/>
      <c r="G50" s="16"/>
      <c r="H50" s="16"/>
      <c r="I50" s="16"/>
      <c r="J50" s="16"/>
      <c r="K50" s="16"/>
      <c r="L50" s="16"/>
      <c r="M50" s="16"/>
      <c r="N50" s="16">
        <v>8</v>
      </c>
      <c r="O50" s="16" t="s">
        <v>370</v>
      </c>
      <c r="P50" s="20" t="s">
        <v>84</v>
      </c>
      <c r="Q50" s="20" t="s">
        <v>85</v>
      </c>
      <c r="R50" s="16" t="s">
        <v>105</v>
      </c>
      <c r="S50" s="16" t="s">
        <v>106</v>
      </c>
      <c r="T50" s="16" t="s">
        <v>240</v>
      </c>
      <c r="U50" s="16" t="s">
        <v>89</v>
      </c>
      <c r="V50" s="16" t="s">
        <v>108</v>
      </c>
      <c r="W50" s="16"/>
      <c r="X50" s="16"/>
      <c r="Y50" s="16"/>
      <c r="Z50" s="16"/>
      <c r="AA50" s="16"/>
      <c r="AB50" s="16"/>
      <c r="AC50" s="2" t="s">
        <v>494</v>
      </c>
      <c r="AG50" s="21" t="s">
        <v>466</v>
      </c>
    </row>
    <row r="51" spans="1:33" ht="142.5" customHeight="1">
      <c r="A51" s="16" t="s">
        <v>628</v>
      </c>
      <c r="B51" s="16" t="s">
        <v>629</v>
      </c>
      <c r="C51" s="17" t="s">
        <v>630</v>
      </c>
      <c r="D51" s="18" t="s">
        <v>76</v>
      </c>
      <c r="E51" s="16" t="s">
        <v>631</v>
      </c>
      <c r="F51" s="16" t="s">
        <v>632</v>
      </c>
      <c r="G51" s="16">
        <v>1377460000000</v>
      </c>
      <c r="H51" s="16" t="s">
        <v>633</v>
      </c>
      <c r="I51" s="19">
        <v>0.54018039215686298</v>
      </c>
      <c r="J51" s="16" t="s">
        <v>204</v>
      </c>
      <c r="K51" s="18" t="s">
        <v>81</v>
      </c>
      <c r="L51" s="16" t="s">
        <v>634</v>
      </c>
      <c r="M51" s="16" t="s">
        <v>635</v>
      </c>
      <c r="N51" s="16">
        <v>1.8</v>
      </c>
      <c r="O51" s="16" t="s">
        <v>172</v>
      </c>
      <c r="P51" s="20" t="s">
        <v>84</v>
      </c>
      <c r="Q51" s="20" t="s">
        <v>85</v>
      </c>
      <c r="R51" s="16" t="s">
        <v>86</v>
      </c>
      <c r="S51" s="16" t="s">
        <v>87</v>
      </c>
      <c r="T51" s="16" t="s">
        <v>291</v>
      </c>
      <c r="U51" s="16" t="s">
        <v>89</v>
      </c>
      <c r="V51" s="16" t="s">
        <v>90</v>
      </c>
      <c r="W51" s="16"/>
      <c r="X51" s="16">
        <v>2938</v>
      </c>
      <c r="Y51" s="16" t="s">
        <v>636</v>
      </c>
      <c r="Z51" s="16" t="s">
        <v>101</v>
      </c>
      <c r="AA51" s="16" t="s">
        <v>81</v>
      </c>
      <c r="AB51" s="16" t="s">
        <v>634</v>
      </c>
      <c r="AC51" s="2" t="s">
        <v>637</v>
      </c>
      <c r="AD51" s="21">
        <v>0.52051785351070601</v>
      </c>
      <c r="AG51" s="22" t="s">
        <v>94</v>
      </c>
    </row>
    <row r="52" spans="1:33" ht="142.5" customHeight="1">
      <c r="A52" s="16" t="s">
        <v>638</v>
      </c>
      <c r="B52" s="16" t="s">
        <v>639</v>
      </c>
      <c r="C52" s="17" t="s">
        <v>640</v>
      </c>
      <c r="D52" s="18" t="s">
        <v>76</v>
      </c>
      <c r="E52" s="16" t="s">
        <v>641</v>
      </c>
      <c r="F52" s="16" t="s">
        <v>642</v>
      </c>
      <c r="G52" s="16">
        <v>724467043047</v>
      </c>
      <c r="H52" s="16" t="s">
        <v>643</v>
      </c>
      <c r="I52" s="19">
        <v>0.19580190352621599</v>
      </c>
      <c r="J52" s="16" t="s">
        <v>92</v>
      </c>
      <c r="K52" s="20" t="s">
        <v>102</v>
      </c>
      <c r="L52" s="16" t="s">
        <v>644</v>
      </c>
      <c r="M52" s="16"/>
      <c r="N52" s="16">
        <v>1.2</v>
      </c>
      <c r="O52" s="16" t="s">
        <v>172</v>
      </c>
      <c r="P52" s="20" t="s">
        <v>84</v>
      </c>
      <c r="Q52" s="20" t="s">
        <v>85</v>
      </c>
      <c r="R52" s="16" t="s">
        <v>488</v>
      </c>
      <c r="S52" s="16" t="s">
        <v>489</v>
      </c>
      <c r="T52" s="16" t="s">
        <v>291</v>
      </c>
      <c r="U52" s="16" t="s">
        <v>89</v>
      </c>
      <c r="V52" s="16" t="s">
        <v>490</v>
      </c>
      <c r="W52" s="16"/>
      <c r="X52" s="16">
        <v>1402</v>
      </c>
      <c r="Y52" s="16" t="s">
        <v>645</v>
      </c>
      <c r="Z52" s="16" t="s">
        <v>492</v>
      </c>
      <c r="AA52" s="16" t="s">
        <v>81</v>
      </c>
      <c r="AB52" s="16" t="s">
        <v>646</v>
      </c>
      <c r="AC52" s="2" t="s">
        <v>647</v>
      </c>
      <c r="AD52" s="21">
        <v>0.194075903431532</v>
      </c>
      <c r="AG52" s="22" t="s">
        <v>94</v>
      </c>
    </row>
    <row r="53" spans="1:33" ht="142.5" customHeight="1">
      <c r="A53" s="16" t="s">
        <v>648</v>
      </c>
      <c r="B53" s="16" t="s">
        <v>649</v>
      </c>
      <c r="C53" s="17" t="s">
        <v>650</v>
      </c>
      <c r="D53" s="18" t="s">
        <v>76</v>
      </c>
      <c r="E53" s="16" t="s">
        <v>651</v>
      </c>
      <c r="F53" s="16" t="s">
        <v>652</v>
      </c>
      <c r="G53" s="16">
        <v>611600000000</v>
      </c>
      <c r="H53" s="16" t="s">
        <v>653</v>
      </c>
      <c r="I53" s="19">
        <v>0.45303703703703702</v>
      </c>
      <c r="J53" s="16" t="s">
        <v>326</v>
      </c>
      <c r="K53" s="18" t="s">
        <v>81</v>
      </c>
      <c r="L53" s="16" t="s">
        <v>654</v>
      </c>
      <c r="M53" s="16"/>
      <c r="N53" s="16">
        <v>0.6</v>
      </c>
      <c r="O53" s="16" t="s">
        <v>172</v>
      </c>
      <c r="P53" s="20" t="s">
        <v>84</v>
      </c>
      <c r="Q53" s="20" t="s">
        <v>85</v>
      </c>
      <c r="R53" s="16" t="s">
        <v>488</v>
      </c>
      <c r="S53" s="16" t="s">
        <v>489</v>
      </c>
      <c r="T53" s="16" t="s">
        <v>291</v>
      </c>
      <c r="U53" s="16" t="s">
        <v>89</v>
      </c>
      <c r="V53" s="16" t="s">
        <v>490</v>
      </c>
      <c r="W53" s="16"/>
      <c r="X53" s="16">
        <v>65</v>
      </c>
      <c r="Y53" s="16" t="s">
        <v>655</v>
      </c>
      <c r="Z53" s="16" t="s">
        <v>230</v>
      </c>
      <c r="AA53" s="16" t="s">
        <v>81</v>
      </c>
      <c r="AB53" s="16" t="s">
        <v>654</v>
      </c>
      <c r="AC53" s="2" t="s">
        <v>656</v>
      </c>
      <c r="AD53" s="21">
        <v>0.41584135060124999</v>
      </c>
      <c r="AG53" s="22" t="s">
        <v>94</v>
      </c>
    </row>
    <row r="54" spans="1:33" ht="142.5" customHeight="1">
      <c r="A54" s="16" t="s">
        <v>657</v>
      </c>
      <c r="B54" s="16" t="s">
        <v>658</v>
      </c>
      <c r="C54" s="17" t="s">
        <v>659</v>
      </c>
      <c r="D54" s="18" t="s">
        <v>76</v>
      </c>
      <c r="E54" s="16" t="s">
        <v>660</v>
      </c>
      <c r="F54" s="16" t="s">
        <v>661</v>
      </c>
      <c r="G54" s="16">
        <v>48900000000</v>
      </c>
      <c r="H54" s="16" t="s">
        <v>662</v>
      </c>
      <c r="I54" s="19">
        <v>0.37615384615384601</v>
      </c>
      <c r="J54" s="16" t="s">
        <v>123</v>
      </c>
      <c r="K54" s="18" t="s">
        <v>81</v>
      </c>
      <c r="L54" s="16" t="s">
        <v>663</v>
      </c>
      <c r="M54" s="16"/>
      <c r="N54" s="16">
        <v>2.5</v>
      </c>
      <c r="O54" s="16" t="s">
        <v>172</v>
      </c>
      <c r="P54" s="20" t="s">
        <v>84</v>
      </c>
      <c r="Q54" s="20" t="s">
        <v>85</v>
      </c>
      <c r="R54" s="16" t="s">
        <v>488</v>
      </c>
      <c r="S54" s="16" t="s">
        <v>489</v>
      </c>
      <c r="T54" s="16" t="s">
        <v>291</v>
      </c>
      <c r="U54" s="16" t="s">
        <v>89</v>
      </c>
      <c r="V54" s="16" t="s">
        <v>490</v>
      </c>
      <c r="W54" s="16"/>
      <c r="X54" s="16">
        <v>59</v>
      </c>
      <c r="Y54" s="16" t="s">
        <v>664</v>
      </c>
      <c r="Z54" s="16" t="s">
        <v>123</v>
      </c>
      <c r="AA54" s="16" t="s">
        <v>81</v>
      </c>
      <c r="AB54" s="16" t="s">
        <v>663</v>
      </c>
      <c r="AC54" s="2" t="s">
        <v>665</v>
      </c>
      <c r="AD54" s="21">
        <v>0.30395710189397301</v>
      </c>
      <c r="AG54" s="22" t="s">
        <v>94</v>
      </c>
    </row>
    <row r="55" spans="1:33" ht="142.5" customHeight="1">
      <c r="A55" s="16" t="s">
        <v>666</v>
      </c>
      <c r="B55" s="16" t="s">
        <v>667</v>
      </c>
      <c r="C55" s="17" t="s">
        <v>668</v>
      </c>
      <c r="D55" s="18" t="s">
        <v>76</v>
      </c>
      <c r="E55" s="16" t="s">
        <v>669</v>
      </c>
      <c r="F55" s="16" t="s">
        <v>670</v>
      </c>
      <c r="G55" s="16">
        <v>721221600000</v>
      </c>
      <c r="H55" s="16" t="s">
        <v>671</v>
      </c>
      <c r="I55" s="19">
        <v>1.2020360000000001</v>
      </c>
      <c r="J55" s="16" t="s">
        <v>110</v>
      </c>
      <c r="K55" s="18" t="s">
        <v>81</v>
      </c>
      <c r="L55" s="16" t="s">
        <v>672</v>
      </c>
      <c r="M55" s="16" t="s">
        <v>673</v>
      </c>
      <c r="N55" s="16">
        <v>2</v>
      </c>
      <c r="O55" s="16" t="s">
        <v>172</v>
      </c>
      <c r="P55" s="20" t="s">
        <v>84</v>
      </c>
      <c r="Q55" s="20" t="s">
        <v>85</v>
      </c>
      <c r="R55" s="16" t="s">
        <v>86</v>
      </c>
      <c r="S55" s="16" t="s">
        <v>87</v>
      </c>
      <c r="T55" s="16" t="s">
        <v>291</v>
      </c>
      <c r="U55" s="16" t="s">
        <v>89</v>
      </c>
      <c r="V55" s="16" t="s">
        <v>90</v>
      </c>
      <c r="W55" s="16"/>
      <c r="X55" s="16">
        <v>48</v>
      </c>
      <c r="Y55" s="16" t="s">
        <v>674</v>
      </c>
      <c r="Z55" s="16" t="s">
        <v>110</v>
      </c>
      <c r="AA55" s="16" t="s">
        <v>81</v>
      </c>
      <c r="AB55" s="16" t="s">
        <v>672</v>
      </c>
      <c r="AC55" s="2" t="s">
        <v>675</v>
      </c>
      <c r="AD55" s="21">
        <v>1.2703545027854299</v>
      </c>
      <c r="AG55" s="22" t="s">
        <v>94</v>
      </c>
    </row>
    <row r="56" spans="1:33" ht="142.5" customHeight="1">
      <c r="A56" s="16" t="s">
        <v>676</v>
      </c>
      <c r="B56" s="16" t="s">
        <v>677</v>
      </c>
      <c r="C56" s="17" t="s">
        <v>678</v>
      </c>
      <c r="D56" s="18" t="s">
        <v>76</v>
      </c>
      <c r="E56" s="16" t="s">
        <v>669</v>
      </c>
      <c r="F56" s="16" t="s">
        <v>670</v>
      </c>
      <c r="G56" s="16">
        <v>805217300000</v>
      </c>
      <c r="H56" s="16" t="s">
        <v>671</v>
      </c>
      <c r="I56" s="19">
        <v>1.3420288333333299</v>
      </c>
      <c r="J56" s="16" t="s">
        <v>110</v>
      </c>
      <c r="K56" s="18" t="s">
        <v>81</v>
      </c>
      <c r="L56" s="16" t="s">
        <v>672</v>
      </c>
      <c r="M56" s="16" t="s">
        <v>673</v>
      </c>
      <c r="N56" s="16">
        <v>1.5</v>
      </c>
      <c r="O56" s="16" t="s">
        <v>172</v>
      </c>
      <c r="P56" s="20" t="s">
        <v>84</v>
      </c>
      <c r="Q56" s="20" t="s">
        <v>85</v>
      </c>
      <c r="R56" s="16" t="s">
        <v>86</v>
      </c>
      <c r="S56" s="16" t="s">
        <v>87</v>
      </c>
      <c r="T56" s="16" t="s">
        <v>291</v>
      </c>
      <c r="U56" s="16" t="s">
        <v>89</v>
      </c>
      <c r="V56" s="16" t="s">
        <v>90</v>
      </c>
      <c r="W56" s="16"/>
      <c r="X56" s="16">
        <v>128</v>
      </c>
      <c r="Y56" s="16" t="s">
        <v>674</v>
      </c>
      <c r="Z56" s="16" t="s">
        <v>110</v>
      </c>
      <c r="AA56" s="16" t="s">
        <v>81</v>
      </c>
      <c r="AB56" s="16" t="s">
        <v>672</v>
      </c>
      <c r="AC56" s="2" t="s">
        <v>675</v>
      </c>
      <c r="AD56" s="21">
        <v>1.4183039204257399</v>
      </c>
      <c r="AG56" s="22" t="s">
        <v>94</v>
      </c>
    </row>
    <row r="57" spans="1:33" ht="142.5" customHeight="1">
      <c r="A57" s="16" t="s">
        <v>679</v>
      </c>
      <c r="B57" s="16" t="s">
        <v>680</v>
      </c>
      <c r="C57" s="17" t="s">
        <v>681</v>
      </c>
      <c r="D57" s="18" t="s">
        <v>76</v>
      </c>
      <c r="E57" s="16" t="s">
        <v>682</v>
      </c>
      <c r="F57" s="16" t="s">
        <v>683</v>
      </c>
      <c r="G57" s="16">
        <v>659411000000</v>
      </c>
      <c r="H57" s="16" t="s">
        <v>684</v>
      </c>
      <c r="I57" s="19">
        <v>1.0990183333333301</v>
      </c>
      <c r="J57" s="16" t="s">
        <v>326</v>
      </c>
      <c r="K57" s="18" t="s">
        <v>81</v>
      </c>
      <c r="L57" s="16" t="s">
        <v>685</v>
      </c>
      <c r="M57" s="16"/>
      <c r="N57" s="16">
        <v>1</v>
      </c>
      <c r="O57" s="16" t="s">
        <v>172</v>
      </c>
      <c r="P57" s="20" t="s">
        <v>84</v>
      </c>
      <c r="Q57" s="20" t="s">
        <v>85</v>
      </c>
      <c r="R57" s="16" t="s">
        <v>86</v>
      </c>
      <c r="S57" s="16" t="s">
        <v>87</v>
      </c>
      <c r="T57" s="16" t="s">
        <v>291</v>
      </c>
      <c r="U57" s="16" t="s">
        <v>89</v>
      </c>
      <c r="V57" s="16" t="s">
        <v>90</v>
      </c>
      <c r="W57" s="16"/>
      <c r="X57" s="16">
        <v>385</v>
      </c>
      <c r="Y57" s="16" t="s">
        <v>491</v>
      </c>
      <c r="Z57" s="16" t="s">
        <v>204</v>
      </c>
      <c r="AA57" s="16" t="s">
        <v>81</v>
      </c>
      <c r="AB57" s="16" t="s">
        <v>686</v>
      </c>
      <c r="AC57" s="2" t="s">
        <v>687</v>
      </c>
      <c r="AD57" s="21">
        <v>1.1614817596093101</v>
      </c>
      <c r="AG57" s="22" t="s">
        <v>94</v>
      </c>
    </row>
    <row r="58" spans="1:33" ht="142.5" customHeight="1">
      <c r="A58" s="16" t="s">
        <v>688</v>
      </c>
      <c r="B58" s="16" t="s">
        <v>689</v>
      </c>
      <c r="C58" s="17" t="s">
        <v>690</v>
      </c>
      <c r="D58" s="18" t="s">
        <v>76</v>
      </c>
      <c r="E58" s="16" t="s">
        <v>691</v>
      </c>
      <c r="F58" s="16" t="s">
        <v>692</v>
      </c>
      <c r="G58" s="16">
        <v>26530000000</v>
      </c>
      <c r="H58" s="16" t="s">
        <v>693</v>
      </c>
      <c r="I58" s="19">
        <v>2.88369565217391E-2</v>
      </c>
      <c r="J58" s="16" t="s">
        <v>92</v>
      </c>
      <c r="K58" s="18" t="s">
        <v>81</v>
      </c>
      <c r="L58" s="16" t="s">
        <v>694</v>
      </c>
      <c r="M58" s="16"/>
      <c r="N58" s="16">
        <v>1.2</v>
      </c>
      <c r="O58" s="16" t="s">
        <v>172</v>
      </c>
      <c r="P58" s="20" t="s">
        <v>84</v>
      </c>
      <c r="Q58" s="20" t="s">
        <v>85</v>
      </c>
      <c r="R58" s="16" t="s">
        <v>86</v>
      </c>
      <c r="S58" s="16" t="s">
        <v>87</v>
      </c>
      <c r="T58" s="16" t="s">
        <v>291</v>
      </c>
      <c r="U58" s="16" t="s">
        <v>89</v>
      </c>
      <c r="V58" s="16" t="s">
        <v>90</v>
      </c>
      <c r="W58" s="16"/>
      <c r="X58" s="16">
        <v>21</v>
      </c>
      <c r="Y58" s="16" t="s">
        <v>695</v>
      </c>
      <c r="Z58" s="16" t="s">
        <v>696</v>
      </c>
      <c r="AA58" s="16" t="s">
        <v>102</v>
      </c>
      <c r="AB58" s="16" t="s">
        <v>697</v>
      </c>
      <c r="AC58" s="2" t="s">
        <v>698</v>
      </c>
      <c r="AD58" s="21">
        <v>2.8788715552716199E-2</v>
      </c>
      <c r="AG58" s="22" t="s">
        <v>94</v>
      </c>
    </row>
    <row r="59" spans="1:33" ht="142.5" customHeight="1">
      <c r="A59" s="16" t="s">
        <v>699</v>
      </c>
      <c r="B59" s="16" t="s">
        <v>700</v>
      </c>
      <c r="C59" s="17" t="s">
        <v>701</v>
      </c>
      <c r="D59" s="18" t="s">
        <v>76</v>
      </c>
      <c r="E59" s="16" t="s">
        <v>702</v>
      </c>
      <c r="F59" s="16" t="s">
        <v>703</v>
      </c>
      <c r="G59" s="16">
        <v>92175000000</v>
      </c>
      <c r="H59" s="16" t="s">
        <v>704</v>
      </c>
      <c r="I59" s="19">
        <v>1.440234375</v>
      </c>
      <c r="J59" s="16" t="s">
        <v>326</v>
      </c>
      <c r="K59" s="20" t="s">
        <v>102</v>
      </c>
      <c r="L59" s="16" t="s">
        <v>705</v>
      </c>
      <c r="M59" s="16"/>
      <c r="N59" s="16">
        <v>0.7</v>
      </c>
      <c r="O59" s="16" t="s">
        <v>172</v>
      </c>
      <c r="P59" s="20" t="s">
        <v>84</v>
      </c>
      <c r="Q59" s="20" t="s">
        <v>85</v>
      </c>
      <c r="R59" s="16" t="s">
        <v>488</v>
      </c>
      <c r="S59" s="16" t="s">
        <v>489</v>
      </c>
      <c r="T59" s="16" t="s">
        <v>291</v>
      </c>
      <c r="U59" s="16" t="s">
        <v>89</v>
      </c>
      <c r="V59" s="16" t="s">
        <v>490</v>
      </c>
      <c r="W59" s="16"/>
      <c r="X59" s="16">
        <v>3427</v>
      </c>
      <c r="Y59" s="16" t="s">
        <v>706</v>
      </c>
      <c r="Z59" s="16" t="s">
        <v>707</v>
      </c>
      <c r="AA59" s="16" t="s">
        <v>81</v>
      </c>
      <c r="AB59" s="16" t="s">
        <v>708</v>
      </c>
      <c r="AC59" s="2" t="s">
        <v>709</v>
      </c>
      <c r="AD59" s="21">
        <v>1.44799276548726</v>
      </c>
      <c r="AG59" s="23" t="s">
        <v>151</v>
      </c>
    </row>
    <row r="60" spans="1:33" ht="85.5" customHeight="1">
      <c r="A60" s="16" t="s">
        <v>710</v>
      </c>
      <c r="B60" s="16" t="s">
        <v>711</v>
      </c>
      <c r="C60" s="17" t="s">
        <v>712</v>
      </c>
      <c r="D60" s="18" t="s">
        <v>76</v>
      </c>
      <c r="E60" s="16" t="s">
        <v>713</v>
      </c>
      <c r="F60" s="16" t="s">
        <v>714</v>
      </c>
      <c r="G60" s="16">
        <v>5100669400</v>
      </c>
      <c r="H60" s="16" t="s">
        <v>715</v>
      </c>
      <c r="I60" s="19">
        <v>0.18891368148148199</v>
      </c>
      <c r="J60" s="16" t="s">
        <v>716</v>
      </c>
      <c r="K60" s="20" t="s">
        <v>102</v>
      </c>
      <c r="L60" s="16" t="s">
        <v>717</v>
      </c>
      <c r="M60" s="16"/>
      <c r="N60" s="16">
        <v>0.5</v>
      </c>
      <c r="O60" s="16" t="s">
        <v>370</v>
      </c>
      <c r="P60" s="20" t="s">
        <v>84</v>
      </c>
      <c r="Q60" s="20" t="s">
        <v>85</v>
      </c>
      <c r="R60" s="16" t="s">
        <v>86</v>
      </c>
      <c r="S60" s="16" t="s">
        <v>87</v>
      </c>
      <c r="T60" s="16" t="s">
        <v>291</v>
      </c>
      <c r="U60" s="16" t="s">
        <v>89</v>
      </c>
      <c r="V60" s="16" t="s">
        <v>90</v>
      </c>
      <c r="W60" s="16"/>
      <c r="X60" s="16">
        <v>26</v>
      </c>
      <c r="Y60" s="16" t="s">
        <v>718</v>
      </c>
      <c r="Z60" s="16" t="s">
        <v>230</v>
      </c>
      <c r="AA60" s="16" t="s">
        <v>81</v>
      </c>
      <c r="AB60" s="16" t="s">
        <v>719</v>
      </c>
      <c r="AC60" s="2" t="s">
        <v>720</v>
      </c>
      <c r="AD60" s="21">
        <v>0.270754146148452</v>
      </c>
      <c r="AG60" s="22" t="s">
        <v>94</v>
      </c>
    </row>
    <row r="61" spans="1:33" ht="142.5" customHeight="1">
      <c r="A61" s="16" t="s">
        <v>721</v>
      </c>
      <c r="B61" s="16" t="s">
        <v>722</v>
      </c>
      <c r="C61" s="17" t="s">
        <v>723</v>
      </c>
      <c r="D61" s="18" t="s">
        <v>76</v>
      </c>
      <c r="E61" s="16" t="s">
        <v>724</v>
      </c>
      <c r="F61" s="16" t="s">
        <v>725</v>
      </c>
      <c r="G61" s="16">
        <v>7190000000</v>
      </c>
      <c r="H61" s="16" t="s">
        <v>726</v>
      </c>
      <c r="I61" s="19">
        <v>0.27132075471698103</v>
      </c>
      <c r="J61" s="16" t="s">
        <v>204</v>
      </c>
      <c r="K61" s="18" t="s">
        <v>81</v>
      </c>
      <c r="L61" s="16" t="s">
        <v>727</v>
      </c>
      <c r="M61" s="16"/>
      <c r="N61" s="16">
        <v>0.3</v>
      </c>
      <c r="O61" s="16" t="s">
        <v>172</v>
      </c>
      <c r="P61" s="20" t="s">
        <v>84</v>
      </c>
      <c r="Q61" s="20" t="s">
        <v>85</v>
      </c>
      <c r="R61" s="16" t="s">
        <v>86</v>
      </c>
      <c r="S61" s="16" t="s">
        <v>87</v>
      </c>
      <c r="T61" s="16" t="s">
        <v>291</v>
      </c>
      <c r="U61" s="16" t="s">
        <v>89</v>
      </c>
      <c r="V61" s="16" t="s">
        <v>90</v>
      </c>
      <c r="W61" s="16"/>
      <c r="X61" s="16">
        <v>268</v>
      </c>
      <c r="Y61" s="16" t="s">
        <v>728</v>
      </c>
      <c r="Z61" s="16" t="s">
        <v>326</v>
      </c>
      <c r="AA61" s="16" t="s">
        <v>81</v>
      </c>
      <c r="AB61" s="16" t="s">
        <v>729</v>
      </c>
      <c r="AC61" s="2" t="s">
        <v>730</v>
      </c>
      <c r="AD61" s="21">
        <v>0.27026112712797801</v>
      </c>
      <c r="AG61" s="22" t="s">
        <v>94</v>
      </c>
    </row>
    <row r="62" spans="1:33" ht="142.5" customHeight="1">
      <c r="A62" s="16" t="s">
        <v>731</v>
      </c>
      <c r="B62" s="16" t="s">
        <v>39</v>
      </c>
      <c r="C62" s="17" t="s">
        <v>732</v>
      </c>
      <c r="D62" s="18" t="s">
        <v>76</v>
      </c>
      <c r="E62" s="16" t="s">
        <v>733</v>
      </c>
      <c r="F62" s="16" t="s">
        <v>734</v>
      </c>
      <c r="G62" s="16">
        <v>8500000000</v>
      </c>
      <c r="H62" s="16" t="s">
        <v>735</v>
      </c>
      <c r="I62" s="19">
        <v>0.60844667143879705</v>
      </c>
      <c r="J62" s="16" t="s">
        <v>326</v>
      </c>
      <c r="K62" s="18" t="s">
        <v>81</v>
      </c>
      <c r="L62" s="16" t="s">
        <v>736</v>
      </c>
      <c r="M62" s="16"/>
      <c r="N62" s="16">
        <v>1</v>
      </c>
      <c r="O62" s="16" t="s">
        <v>172</v>
      </c>
      <c r="P62" s="20" t="s">
        <v>84</v>
      </c>
      <c r="Q62" s="20" t="s">
        <v>85</v>
      </c>
      <c r="R62" s="16" t="s">
        <v>105</v>
      </c>
      <c r="S62" s="16" t="s">
        <v>106</v>
      </c>
      <c r="T62" s="16" t="s">
        <v>291</v>
      </c>
      <c r="U62" s="16" t="s">
        <v>89</v>
      </c>
      <c r="V62" s="16" t="s">
        <v>108</v>
      </c>
      <c r="W62" s="16"/>
      <c r="X62" s="16">
        <v>407</v>
      </c>
      <c r="Y62" s="16" t="s">
        <v>737</v>
      </c>
      <c r="Z62" s="16" t="s">
        <v>738</v>
      </c>
      <c r="AA62" s="16" t="s">
        <v>81</v>
      </c>
      <c r="AB62" s="16" t="s">
        <v>739</v>
      </c>
      <c r="AC62" s="10" t="s">
        <v>740</v>
      </c>
      <c r="AD62" s="21">
        <v>0.63039025384035596</v>
      </c>
      <c r="AG62" s="22" t="s">
        <v>94</v>
      </c>
    </row>
    <row r="63" spans="1:33" ht="142.5" customHeight="1">
      <c r="A63" s="16" t="s">
        <v>741</v>
      </c>
      <c r="B63" s="16" t="s">
        <v>742</v>
      </c>
      <c r="C63" s="17" t="s">
        <v>743</v>
      </c>
      <c r="D63" s="18" t="s">
        <v>76</v>
      </c>
      <c r="E63" s="16" t="s">
        <v>744</v>
      </c>
      <c r="F63" s="16" t="s">
        <v>745</v>
      </c>
      <c r="G63" s="16">
        <v>7500000000</v>
      </c>
      <c r="H63" s="16" t="s">
        <v>746</v>
      </c>
      <c r="I63" s="19">
        <v>0.41666666666666702</v>
      </c>
      <c r="J63" s="16" t="s">
        <v>204</v>
      </c>
      <c r="K63" s="20" t="s">
        <v>102</v>
      </c>
      <c r="L63" s="16" t="s">
        <v>747</v>
      </c>
      <c r="M63" s="16"/>
      <c r="N63" s="16">
        <v>1.5</v>
      </c>
      <c r="O63" s="16" t="s">
        <v>172</v>
      </c>
      <c r="P63" s="20" t="s">
        <v>84</v>
      </c>
      <c r="Q63" s="20" t="s">
        <v>85</v>
      </c>
      <c r="R63" s="16" t="s">
        <v>86</v>
      </c>
      <c r="S63" s="16" t="s">
        <v>87</v>
      </c>
      <c r="T63" s="16" t="s">
        <v>291</v>
      </c>
      <c r="U63" s="16" t="s">
        <v>89</v>
      </c>
      <c r="V63" s="16" t="s">
        <v>90</v>
      </c>
      <c r="W63" s="16"/>
      <c r="X63" s="16">
        <v>958</v>
      </c>
      <c r="Y63" s="16" t="s">
        <v>748</v>
      </c>
      <c r="Z63" s="16" t="s">
        <v>749</v>
      </c>
      <c r="AA63" s="16" t="s">
        <v>102</v>
      </c>
      <c r="AB63" s="16" t="s">
        <v>747</v>
      </c>
      <c r="AC63" s="2" t="s">
        <v>750</v>
      </c>
      <c r="AD63" s="21">
        <v>0.46398332530539099</v>
      </c>
      <c r="AG63" s="22" t="s">
        <v>94</v>
      </c>
    </row>
    <row r="64" spans="1:33" ht="142.5" customHeight="1">
      <c r="A64" s="16" t="s">
        <v>751</v>
      </c>
      <c r="B64" s="16" t="s">
        <v>752</v>
      </c>
      <c r="C64" s="17" t="s">
        <v>753</v>
      </c>
      <c r="D64" s="18" t="s">
        <v>76</v>
      </c>
      <c r="E64" s="16" t="s">
        <v>754</v>
      </c>
      <c r="F64" s="16" t="s">
        <v>755</v>
      </c>
      <c r="G64" s="16">
        <v>59189000000</v>
      </c>
      <c r="H64" s="16" t="s">
        <v>756</v>
      </c>
      <c r="I64" s="19">
        <v>1.31531111111111</v>
      </c>
      <c r="J64" s="16" t="s">
        <v>757</v>
      </c>
      <c r="K64" s="18" t="s">
        <v>81</v>
      </c>
      <c r="L64" s="16" t="s">
        <v>758</v>
      </c>
      <c r="M64" s="16"/>
      <c r="N64" s="16">
        <v>2.5</v>
      </c>
      <c r="O64" s="16" t="s">
        <v>172</v>
      </c>
      <c r="P64" s="20" t="s">
        <v>84</v>
      </c>
      <c r="Q64" s="20" t="s">
        <v>85</v>
      </c>
      <c r="R64" s="16" t="s">
        <v>105</v>
      </c>
      <c r="S64" s="16" t="s">
        <v>106</v>
      </c>
      <c r="T64" s="16" t="s">
        <v>291</v>
      </c>
      <c r="U64" s="16" t="s">
        <v>89</v>
      </c>
      <c r="V64" s="16" t="s">
        <v>108</v>
      </c>
      <c r="W64" s="16"/>
      <c r="X64" s="16">
        <v>6</v>
      </c>
      <c r="Y64" s="16" t="s">
        <v>759</v>
      </c>
      <c r="Z64" s="16" t="s">
        <v>123</v>
      </c>
      <c r="AA64" s="16" t="s">
        <v>81</v>
      </c>
      <c r="AB64" s="16" t="s">
        <v>760</v>
      </c>
      <c r="AC64" s="2" t="s">
        <v>761</v>
      </c>
      <c r="AD64" s="21">
        <v>1.25870389629347</v>
      </c>
      <c r="AG64" s="22" t="s">
        <v>94</v>
      </c>
    </row>
    <row r="65" spans="1:33" ht="99.75" customHeight="1">
      <c r="A65" s="16" t="s">
        <v>762</v>
      </c>
      <c r="B65" s="16" t="s">
        <v>763</v>
      </c>
      <c r="C65" s="17" t="s">
        <v>764</v>
      </c>
      <c r="D65" s="18" t="s">
        <v>76</v>
      </c>
      <c r="E65" s="16" t="s">
        <v>366</v>
      </c>
      <c r="F65" s="16" t="s">
        <v>765</v>
      </c>
      <c r="G65" s="16">
        <v>769477025679.52002</v>
      </c>
      <c r="H65" s="16" t="s">
        <v>766</v>
      </c>
      <c r="I65" s="19">
        <v>0.170994894595449</v>
      </c>
      <c r="J65" s="16" t="s">
        <v>716</v>
      </c>
      <c r="K65" s="20" t="s">
        <v>81</v>
      </c>
      <c r="L65" s="16" t="s">
        <v>767</v>
      </c>
      <c r="M65" s="16"/>
      <c r="N65" s="16">
        <v>0.4</v>
      </c>
      <c r="O65" s="16" t="s">
        <v>370</v>
      </c>
      <c r="P65" s="20" t="s">
        <v>84</v>
      </c>
      <c r="Q65" s="20" t="s">
        <v>85</v>
      </c>
      <c r="R65" s="16" t="s">
        <v>488</v>
      </c>
      <c r="S65" s="16" t="s">
        <v>489</v>
      </c>
      <c r="T65" s="16" t="s">
        <v>291</v>
      </c>
      <c r="U65" s="16" t="s">
        <v>89</v>
      </c>
      <c r="V65" s="16" t="s">
        <v>490</v>
      </c>
      <c r="W65" s="16"/>
      <c r="X65" s="16">
        <v>16</v>
      </c>
      <c r="Y65" s="16" t="s">
        <v>664</v>
      </c>
      <c r="Z65" s="16" t="s">
        <v>768</v>
      </c>
      <c r="AA65" s="16" t="s">
        <v>102</v>
      </c>
      <c r="AB65" s="16" t="s">
        <v>769</v>
      </c>
      <c r="AC65" s="10" t="s">
        <v>770</v>
      </c>
      <c r="AD65" s="21">
        <v>0.17816661248195101</v>
      </c>
      <c r="AG65" s="22" t="s">
        <v>94</v>
      </c>
    </row>
    <row r="66" spans="1:33" ht="142.5" customHeight="1">
      <c r="A66" s="16" t="s">
        <v>771</v>
      </c>
      <c r="B66" s="16" t="s">
        <v>772</v>
      </c>
      <c r="C66" s="17" t="s">
        <v>773</v>
      </c>
      <c r="D66" s="18" t="s">
        <v>76</v>
      </c>
      <c r="E66" s="16" t="s">
        <v>669</v>
      </c>
      <c r="F66" s="16" t="s">
        <v>670</v>
      </c>
      <c r="G66" s="16">
        <v>246984300000</v>
      </c>
      <c r="H66" s="16" t="s">
        <v>671</v>
      </c>
      <c r="I66" s="19">
        <v>0.41164050000000002</v>
      </c>
      <c r="J66" s="16" t="s">
        <v>110</v>
      </c>
      <c r="K66" s="18" t="s">
        <v>81</v>
      </c>
      <c r="L66" s="16" t="s">
        <v>672</v>
      </c>
      <c r="M66" s="16" t="s">
        <v>673</v>
      </c>
      <c r="N66" s="16">
        <v>0.5</v>
      </c>
      <c r="O66" s="16" t="s">
        <v>172</v>
      </c>
      <c r="P66" s="20" t="s">
        <v>84</v>
      </c>
      <c r="Q66" s="20" t="s">
        <v>85</v>
      </c>
      <c r="R66" s="16" t="s">
        <v>86</v>
      </c>
      <c r="S66" s="16" t="s">
        <v>87</v>
      </c>
      <c r="T66" s="16" t="s">
        <v>291</v>
      </c>
      <c r="U66" s="16" t="s">
        <v>89</v>
      </c>
      <c r="V66" s="16" t="s">
        <v>90</v>
      </c>
      <c r="W66" s="16"/>
      <c r="X66" s="16">
        <v>53</v>
      </c>
      <c r="Y66" s="16" t="s">
        <v>674</v>
      </c>
      <c r="Z66" s="16" t="s">
        <v>110</v>
      </c>
      <c r="AA66" s="16" t="s">
        <v>81</v>
      </c>
      <c r="AB66" s="16" t="s">
        <v>672</v>
      </c>
      <c r="AC66" s="2" t="s">
        <v>675</v>
      </c>
      <c r="AD66" s="21">
        <v>0.43503635723376499</v>
      </c>
      <c r="AG66" s="22" t="s">
        <v>94</v>
      </c>
    </row>
    <row r="67" spans="1:33" ht="142.5" customHeight="1">
      <c r="A67" s="16" t="s">
        <v>774</v>
      </c>
      <c r="B67" s="16" t="s">
        <v>775</v>
      </c>
      <c r="C67" s="17" t="s">
        <v>776</v>
      </c>
      <c r="D67" s="18" t="s">
        <v>76</v>
      </c>
      <c r="E67" s="16" t="s">
        <v>669</v>
      </c>
      <c r="F67" s="16" t="s">
        <v>670</v>
      </c>
      <c r="G67" s="16">
        <v>428265500000</v>
      </c>
      <c r="H67" s="16" t="s">
        <v>671</v>
      </c>
      <c r="I67" s="19">
        <v>0.71377583333333305</v>
      </c>
      <c r="J67" s="16" t="s">
        <v>110</v>
      </c>
      <c r="K67" s="18" t="s">
        <v>81</v>
      </c>
      <c r="L67" s="16" t="s">
        <v>672</v>
      </c>
      <c r="M67" s="16" t="s">
        <v>673</v>
      </c>
      <c r="N67" s="16">
        <v>0.4</v>
      </c>
      <c r="O67" s="16" t="s">
        <v>172</v>
      </c>
      <c r="P67" s="20" t="s">
        <v>84</v>
      </c>
      <c r="Q67" s="20" t="s">
        <v>85</v>
      </c>
      <c r="R67" s="16" t="s">
        <v>488</v>
      </c>
      <c r="S67" s="16" t="s">
        <v>489</v>
      </c>
      <c r="T67" s="16" t="s">
        <v>291</v>
      </c>
      <c r="U67" s="16" t="s">
        <v>89</v>
      </c>
      <c r="V67" s="16" t="s">
        <v>490</v>
      </c>
      <c r="W67" s="16"/>
      <c r="X67" s="16">
        <v>73</v>
      </c>
      <c r="Y67" s="16" t="s">
        <v>674</v>
      </c>
      <c r="Z67" s="16" t="s">
        <v>110</v>
      </c>
      <c r="AA67" s="16" t="s">
        <v>81</v>
      </c>
      <c r="AB67" s="16" t="s">
        <v>672</v>
      </c>
      <c r="AC67" s="2" t="s">
        <v>675</v>
      </c>
      <c r="AD67" s="21">
        <v>0.75434374998288201</v>
      </c>
      <c r="AG67" s="22" t="s">
        <v>94</v>
      </c>
    </row>
    <row r="68" spans="1:33" ht="142.5" customHeight="1">
      <c r="A68" s="16" t="s">
        <v>777</v>
      </c>
      <c r="B68" s="16" t="s">
        <v>778</v>
      </c>
      <c r="C68" s="17" t="s">
        <v>779</v>
      </c>
      <c r="D68" s="18" t="s">
        <v>76</v>
      </c>
      <c r="E68" s="16" t="s">
        <v>669</v>
      </c>
      <c r="F68" s="16" t="s">
        <v>670</v>
      </c>
      <c r="G68" s="16">
        <v>203501200000</v>
      </c>
      <c r="H68" s="16" t="s">
        <v>671</v>
      </c>
      <c r="I68" s="19">
        <v>0.33916866666666701</v>
      </c>
      <c r="J68" s="16" t="s">
        <v>110</v>
      </c>
      <c r="K68" s="18" t="s">
        <v>81</v>
      </c>
      <c r="L68" s="16" t="s">
        <v>672</v>
      </c>
      <c r="M68" s="16" t="s">
        <v>673</v>
      </c>
      <c r="N68" s="16">
        <v>0.4</v>
      </c>
      <c r="O68" s="16" t="s">
        <v>172</v>
      </c>
      <c r="P68" s="20" t="s">
        <v>84</v>
      </c>
      <c r="Q68" s="20" t="s">
        <v>85</v>
      </c>
      <c r="R68" s="16" t="s">
        <v>488</v>
      </c>
      <c r="S68" s="16" t="s">
        <v>489</v>
      </c>
      <c r="T68" s="16" t="s">
        <v>291</v>
      </c>
      <c r="U68" s="16" t="s">
        <v>89</v>
      </c>
      <c r="V68" s="16" t="s">
        <v>490</v>
      </c>
      <c r="W68" s="16"/>
      <c r="X68" s="16">
        <v>116</v>
      </c>
      <c r="Y68" s="16" t="s">
        <v>674</v>
      </c>
      <c r="Z68" s="16" t="s">
        <v>110</v>
      </c>
      <c r="AA68" s="16" t="s">
        <v>81</v>
      </c>
      <c r="AB68" s="16" t="s">
        <v>672</v>
      </c>
      <c r="AC68" s="2" t="s">
        <v>675</v>
      </c>
      <c r="AD68" s="21">
        <v>0.358445539820547</v>
      </c>
      <c r="AG68" s="22" t="s">
        <v>94</v>
      </c>
    </row>
    <row r="69" spans="1:33" ht="114" customHeight="1">
      <c r="A69" s="16" t="s">
        <v>780</v>
      </c>
      <c r="B69" s="16" t="s">
        <v>781</v>
      </c>
      <c r="C69" s="17" t="s">
        <v>782</v>
      </c>
      <c r="D69" s="18" t="s">
        <v>76</v>
      </c>
      <c r="E69" s="16" t="s">
        <v>366</v>
      </c>
      <c r="F69" s="16" t="s">
        <v>783</v>
      </c>
      <c r="G69" s="16">
        <v>369000000</v>
      </c>
      <c r="H69" s="16" t="s">
        <v>559</v>
      </c>
      <c r="I69" s="19">
        <v>0.36899999999999999</v>
      </c>
      <c r="J69" s="16" t="s">
        <v>716</v>
      </c>
      <c r="K69" s="20" t="s">
        <v>102</v>
      </c>
      <c r="L69" s="16" t="s">
        <v>784</v>
      </c>
      <c r="M69" s="16"/>
      <c r="N69" s="16">
        <v>0.6</v>
      </c>
      <c r="O69" s="16" t="s">
        <v>370</v>
      </c>
      <c r="P69" s="20" t="s">
        <v>84</v>
      </c>
      <c r="Q69" s="20" t="s">
        <v>85</v>
      </c>
      <c r="R69" s="16" t="s">
        <v>488</v>
      </c>
      <c r="S69" s="16" t="s">
        <v>489</v>
      </c>
      <c r="T69" s="16" t="s">
        <v>291</v>
      </c>
      <c r="U69" s="16" t="s">
        <v>89</v>
      </c>
      <c r="V69" s="16" t="s">
        <v>490</v>
      </c>
      <c r="W69" s="16"/>
      <c r="X69" s="16">
        <v>116</v>
      </c>
      <c r="Y69" s="16" t="s">
        <v>491</v>
      </c>
      <c r="Z69" s="16" t="s">
        <v>101</v>
      </c>
      <c r="AA69" s="16" t="s">
        <v>102</v>
      </c>
      <c r="AB69" s="16" t="s">
        <v>785</v>
      </c>
      <c r="AC69" s="2" t="s">
        <v>786</v>
      </c>
      <c r="AD69" s="21">
        <v>0.36899999999999999</v>
      </c>
      <c r="AG69" s="22" t="s">
        <v>94</v>
      </c>
    </row>
    <row r="70" spans="1:33" ht="142.5" customHeight="1">
      <c r="A70" s="16" t="s">
        <v>787</v>
      </c>
      <c r="B70" s="16" t="s">
        <v>788</v>
      </c>
      <c r="C70" s="17" t="s">
        <v>789</v>
      </c>
      <c r="D70" s="18" t="s">
        <v>76</v>
      </c>
      <c r="E70" s="16" t="s">
        <v>682</v>
      </c>
      <c r="F70" s="16" t="s">
        <v>683</v>
      </c>
      <c r="G70" s="16">
        <v>112302000000</v>
      </c>
      <c r="H70" s="16" t="s">
        <v>684</v>
      </c>
      <c r="I70" s="19">
        <v>0.18717</v>
      </c>
      <c r="J70" s="16" t="s">
        <v>326</v>
      </c>
      <c r="K70" s="18" t="s">
        <v>81</v>
      </c>
      <c r="L70" s="16" t="s">
        <v>685</v>
      </c>
      <c r="M70" s="16"/>
      <c r="N70" s="16">
        <v>0.5</v>
      </c>
      <c r="O70" s="16" t="s">
        <v>172</v>
      </c>
      <c r="P70" s="20" t="s">
        <v>84</v>
      </c>
      <c r="Q70" s="20" t="s">
        <v>85</v>
      </c>
      <c r="R70" s="16" t="s">
        <v>105</v>
      </c>
      <c r="S70" s="16" t="s">
        <v>106</v>
      </c>
      <c r="T70" s="16" t="s">
        <v>291</v>
      </c>
      <c r="U70" s="16" t="s">
        <v>89</v>
      </c>
      <c r="V70" s="16" t="s">
        <v>108</v>
      </c>
      <c r="W70" s="16"/>
      <c r="X70" s="16">
        <v>18</v>
      </c>
      <c r="Y70" s="16" t="s">
        <v>664</v>
      </c>
      <c r="Z70" s="16" t="s">
        <v>539</v>
      </c>
      <c r="AA70" s="16" t="s">
        <v>81</v>
      </c>
      <c r="AB70" s="16" t="s">
        <v>685</v>
      </c>
      <c r="AC70" s="2" t="s">
        <v>687</v>
      </c>
      <c r="AD70" s="21">
        <v>0.19780792945165501</v>
      </c>
      <c r="AG70" s="22" t="s">
        <v>94</v>
      </c>
    </row>
    <row r="71" spans="1:33" ht="99.75" customHeight="1">
      <c r="A71" s="16" t="s">
        <v>790</v>
      </c>
      <c r="B71" s="16" t="s">
        <v>791</v>
      </c>
      <c r="C71" s="17" t="s">
        <v>792</v>
      </c>
      <c r="D71" s="18" t="s">
        <v>76</v>
      </c>
      <c r="E71" s="16" t="s">
        <v>793</v>
      </c>
      <c r="F71" s="16" t="s">
        <v>794</v>
      </c>
      <c r="G71" s="16">
        <v>924000000000</v>
      </c>
      <c r="H71" s="16" t="s">
        <v>559</v>
      </c>
      <c r="I71" s="19">
        <v>924</v>
      </c>
      <c r="J71" s="16" t="s">
        <v>795</v>
      </c>
      <c r="K71" s="18" t="s">
        <v>81</v>
      </c>
      <c r="L71" s="16" t="s">
        <v>796</v>
      </c>
      <c r="M71" s="16"/>
      <c r="N71" s="16">
        <v>1969</v>
      </c>
      <c r="O71" s="16" t="s">
        <v>797</v>
      </c>
      <c r="P71" s="25" t="s">
        <v>186</v>
      </c>
      <c r="Q71" s="25" t="s">
        <v>187</v>
      </c>
      <c r="R71" s="16" t="s">
        <v>188</v>
      </c>
      <c r="S71" s="16" t="s">
        <v>189</v>
      </c>
      <c r="T71" s="16" t="s">
        <v>798</v>
      </c>
      <c r="U71" s="16" t="s">
        <v>190</v>
      </c>
      <c r="V71" s="16" t="s">
        <v>191</v>
      </c>
      <c r="W71" s="16"/>
      <c r="X71" s="16">
        <v>5346</v>
      </c>
      <c r="Y71" s="16" t="s">
        <v>799</v>
      </c>
      <c r="Z71" s="16" t="s">
        <v>800</v>
      </c>
      <c r="AA71" s="16" t="s">
        <v>81</v>
      </c>
      <c r="AB71" s="16" t="s">
        <v>801</v>
      </c>
      <c r="AC71" s="10" t="s">
        <v>802</v>
      </c>
      <c r="AD71" s="21">
        <v>924</v>
      </c>
      <c r="AG71" s="22" t="s">
        <v>94</v>
      </c>
    </row>
    <row r="72" spans="1:33" ht="171" customHeight="1">
      <c r="A72" s="16" t="s">
        <v>803</v>
      </c>
      <c r="B72" s="16" t="s">
        <v>804</v>
      </c>
      <c r="C72" s="17" t="s">
        <v>805</v>
      </c>
      <c r="D72" s="18" t="s">
        <v>76</v>
      </c>
      <c r="E72" s="16" t="s">
        <v>806</v>
      </c>
      <c r="F72" s="16" t="s">
        <v>807</v>
      </c>
      <c r="G72" s="16">
        <v>827701000000</v>
      </c>
      <c r="H72" s="16" t="s">
        <v>808</v>
      </c>
      <c r="I72" s="19">
        <v>604.16131386861298</v>
      </c>
      <c r="J72" s="16" t="s">
        <v>795</v>
      </c>
      <c r="K72" s="18" t="s">
        <v>81</v>
      </c>
      <c r="L72" s="16" t="s">
        <v>809</v>
      </c>
      <c r="M72" s="16" t="s">
        <v>810</v>
      </c>
      <c r="N72" s="16">
        <v>120</v>
      </c>
      <c r="O72" s="16" t="s">
        <v>811</v>
      </c>
      <c r="P72" s="25" t="s">
        <v>186</v>
      </c>
      <c r="Q72" s="25" t="s">
        <v>187</v>
      </c>
      <c r="R72" s="16" t="s">
        <v>188</v>
      </c>
      <c r="S72" s="16" t="s">
        <v>189</v>
      </c>
      <c r="T72" s="16" t="s">
        <v>798</v>
      </c>
      <c r="U72" s="16" t="s">
        <v>190</v>
      </c>
      <c r="V72" s="16" t="s">
        <v>191</v>
      </c>
      <c r="W72" s="16"/>
      <c r="X72" s="16">
        <v>10</v>
      </c>
      <c r="Y72" s="16" t="s">
        <v>812</v>
      </c>
      <c r="Z72" s="16" t="s">
        <v>279</v>
      </c>
      <c r="AA72" s="16" t="s">
        <v>81</v>
      </c>
      <c r="AB72" s="16" t="s">
        <v>813</v>
      </c>
      <c r="AC72" s="10" t="s">
        <v>814</v>
      </c>
      <c r="AD72" s="21">
        <v>593.15206517283605</v>
      </c>
      <c r="AG72" s="26" t="s">
        <v>207</v>
      </c>
    </row>
    <row r="73" spans="1:33" ht="99.75" customHeight="1">
      <c r="A73" s="16" t="s">
        <v>815</v>
      </c>
      <c r="B73" s="16" t="s">
        <v>816</v>
      </c>
      <c r="C73" s="17" t="s">
        <v>817</v>
      </c>
      <c r="D73" s="18" t="s">
        <v>76</v>
      </c>
      <c r="E73" s="16" t="s">
        <v>818</v>
      </c>
      <c r="F73" s="16" t="s">
        <v>818</v>
      </c>
      <c r="G73" s="16">
        <v>256333000000</v>
      </c>
      <c r="H73" s="16" t="s">
        <v>819</v>
      </c>
      <c r="I73" s="19">
        <v>328.63205128205101</v>
      </c>
      <c r="J73" s="16" t="s">
        <v>132</v>
      </c>
      <c r="K73" s="18" t="s">
        <v>81</v>
      </c>
      <c r="L73" s="16" t="s">
        <v>820</v>
      </c>
      <c r="M73" s="16" t="s">
        <v>821</v>
      </c>
      <c r="N73" s="16">
        <v>180</v>
      </c>
      <c r="O73" s="16" t="s">
        <v>822</v>
      </c>
      <c r="P73" s="25" t="s">
        <v>186</v>
      </c>
      <c r="Q73" s="25" t="s">
        <v>187</v>
      </c>
      <c r="R73" s="16" t="s">
        <v>188</v>
      </c>
      <c r="S73" s="16" t="s">
        <v>189</v>
      </c>
      <c r="T73" s="16" t="s">
        <v>348</v>
      </c>
      <c r="U73" s="16" t="s">
        <v>190</v>
      </c>
      <c r="V73" s="16" t="s">
        <v>191</v>
      </c>
      <c r="W73" s="16"/>
      <c r="X73" s="16">
        <v>3500</v>
      </c>
      <c r="Y73" s="16" t="s">
        <v>823</v>
      </c>
      <c r="Z73" s="16" t="s">
        <v>539</v>
      </c>
      <c r="AA73" s="16" t="s">
        <v>81</v>
      </c>
      <c r="AB73" s="16" t="s">
        <v>824</v>
      </c>
      <c r="AC73" s="2" t="s">
        <v>825</v>
      </c>
      <c r="AD73" s="21">
        <v>345.67236959391801</v>
      </c>
      <c r="AG73" s="26" t="s">
        <v>207</v>
      </c>
    </row>
    <row r="74" spans="1:33" ht="171" customHeight="1">
      <c r="A74" s="16" t="s">
        <v>826</v>
      </c>
      <c r="B74" s="16" t="s">
        <v>827</v>
      </c>
      <c r="C74" s="17" t="s">
        <v>828</v>
      </c>
      <c r="D74" s="18" t="s">
        <v>76</v>
      </c>
      <c r="E74" s="16" t="s">
        <v>829</v>
      </c>
      <c r="F74" s="16" t="s">
        <v>829</v>
      </c>
      <c r="G74" s="16">
        <v>204411000000</v>
      </c>
      <c r="H74" s="16" t="s">
        <v>830</v>
      </c>
      <c r="I74" s="19">
        <v>222.80798999999999</v>
      </c>
      <c r="J74" s="16" t="s">
        <v>132</v>
      </c>
      <c r="K74" s="18" t="s">
        <v>81</v>
      </c>
      <c r="L74" s="16" t="s">
        <v>831</v>
      </c>
      <c r="M74" s="16"/>
      <c r="N74" s="16">
        <v>95</v>
      </c>
      <c r="O74" s="16" t="s">
        <v>832</v>
      </c>
      <c r="P74" s="25" t="s">
        <v>186</v>
      </c>
      <c r="Q74" s="25" t="s">
        <v>187</v>
      </c>
      <c r="R74" s="16" t="s">
        <v>188</v>
      </c>
      <c r="S74" s="16" t="s">
        <v>189</v>
      </c>
      <c r="T74" s="16" t="s">
        <v>348</v>
      </c>
      <c r="U74" s="16" t="s">
        <v>190</v>
      </c>
      <c r="V74" s="16" t="s">
        <v>191</v>
      </c>
      <c r="W74" s="16"/>
      <c r="X74" s="16">
        <v>339</v>
      </c>
      <c r="Y74" s="16" t="s">
        <v>833</v>
      </c>
      <c r="Z74" s="16" t="s">
        <v>707</v>
      </c>
      <c r="AA74" s="16" t="s">
        <v>81</v>
      </c>
      <c r="AB74" s="16" t="s">
        <v>834</v>
      </c>
      <c r="AC74" s="2" t="s">
        <v>835</v>
      </c>
      <c r="AD74" s="21">
        <v>236.174866292243</v>
      </c>
      <c r="AG74" s="23" t="s">
        <v>151</v>
      </c>
    </row>
    <row r="75" spans="1:33" ht="99.75" customHeight="1">
      <c r="A75" s="16" t="s">
        <v>836</v>
      </c>
      <c r="B75" s="16" t="s">
        <v>837</v>
      </c>
      <c r="C75" s="17" t="s">
        <v>838</v>
      </c>
      <c r="D75" s="18" t="s">
        <v>76</v>
      </c>
      <c r="E75" s="16" t="s">
        <v>829</v>
      </c>
      <c r="F75" s="16" t="s">
        <v>829</v>
      </c>
      <c r="G75" s="16">
        <v>206339000000</v>
      </c>
      <c r="H75" s="16" t="s">
        <v>830</v>
      </c>
      <c r="I75" s="19">
        <v>224.90951000000001</v>
      </c>
      <c r="J75" s="16" t="s">
        <v>132</v>
      </c>
      <c r="K75" s="18" t="s">
        <v>81</v>
      </c>
      <c r="L75" s="16" t="s">
        <v>839</v>
      </c>
      <c r="M75" s="16"/>
      <c r="N75" s="16">
        <v>85</v>
      </c>
      <c r="O75" s="16" t="s">
        <v>840</v>
      </c>
      <c r="P75" s="25" t="s">
        <v>186</v>
      </c>
      <c r="Q75" s="25" t="s">
        <v>187</v>
      </c>
      <c r="R75" s="16" t="s">
        <v>188</v>
      </c>
      <c r="S75" s="16" t="s">
        <v>189</v>
      </c>
      <c r="T75" s="16" t="s">
        <v>348</v>
      </c>
      <c r="U75" s="16" t="s">
        <v>190</v>
      </c>
      <c r="V75" s="16" t="s">
        <v>191</v>
      </c>
      <c r="W75" s="16"/>
      <c r="X75" s="16">
        <v>139</v>
      </c>
      <c r="Y75" s="16" t="s">
        <v>841</v>
      </c>
      <c r="Z75" s="16" t="s">
        <v>204</v>
      </c>
      <c r="AA75" s="16" t="s">
        <v>81</v>
      </c>
      <c r="AB75" s="16" t="s">
        <v>842</v>
      </c>
      <c r="AC75" s="2" t="s">
        <v>843</v>
      </c>
      <c r="AD75" s="21">
        <v>238.40246237176601</v>
      </c>
      <c r="AG75" s="23" t="s">
        <v>151</v>
      </c>
    </row>
    <row r="76" spans="1:33" ht="114" customHeight="1">
      <c r="A76" s="16" t="s">
        <v>844</v>
      </c>
      <c r="B76" s="16" t="s">
        <v>845</v>
      </c>
      <c r="C76" s="17" t="s">
        <v>846</v>
      </c>
      <c r="D76" s="18" t="s">
        <v>76</v>
      </c>
      <c r="E76" s="16" t="s">
        <v>829</v>
      </c>
      <c r="F76" s="16" t="s">
        <v>829</v>
      </c>
      <c r="G76" s="16">
        <v>6821000000</v>
      </c>
      <c r="H76" s="16" t="s">
        <v>830</v>
      </c>
      <c r="I76" s="19">
        <v>7.4348900000000002</v>
      </c>
      <c r="J76" s="16" t="s">
        <v>132</v>
      </c>
      <c r="K76" s="18" t="s">
        <v>81</v>
      </c>
      <c r="L76" s="16" t="s">
        <v>847</v>
      </c>
      <c r="M76" s="16"/>
      <c r="N76" s="16">
        <v>35</v>
      </c>
      <c r="O76" s="16" t="s">
        <v>848</v>
      </c>
      <c r="P76" s="25" t="s">
        <v>186</v>
      </c>
      <c r="Q76" s="25" t="s">
        <v>187</v>
      </c>
      <c r="R76" s="16" t="s">
        <v>188</v>
      </c>
      <c r="S76" s="16" t="s">
        <v>189</v>
      </c>
      <c r="T76" s="16" t="s">
        <v>348</v>
      </c>
      <c r="U76" s="16" t="s">
        <v>190</v>
      </c>
      <c r="V76" s="16" t="s">
        <v>191</v>
      </c>
      <c r="W76" s="16"/>
      <c r="X76" s="16">
        <v>381</v>
      </c>
      <c r="Y76" s="16" t="s">
        <v>849</v>
      </c>
      <c r="Z76" s="16" t="s">
        <v>253</v>
      </c>
      <c r="AA76" s="16" t="s">
        <v>81</v>
      </c>
      <c r="AB76" s="16" t="s">
        <v>850</v>
      </c>
      <c r="AC76" s="2" t="s">
        <v>843</v>
      </c>
      <c r="AD76" s="21">
        <v>7.8809299058239901</v>
      </c>
      <c r="AG76" s="23" t="s">
        <v>151</v>
      </c>
    </row>
    <row r="77" spans="1:33" ht="142.5" customHeight="1">
      <c r="A77" s="16" t="s">
        <v>851</v>
      </c>
      <c r="B77" s="16" t="s">
        <v>852</v>
      </c>
      <c r="C77" s="17" t="s">
        <v>853</v>
      </c>
      <c r="D77" s="18" t="s">
        <v>76</v>
      </c>
      <c r="E77" s="16" t="s">
        <v>829</v>
      </c>
      <c r="F77" s="16" t="s">
        <v>829</v>
      </c>
      <c r="G77" s="16">
        <v>118808000000</v>
      </c>
      <c r="H77" s="16" t="s">
        <v>830</v>
      </c>
      <c r="I77" s="19">
        <v>129.50072</v>
      </c>
      <c r="J77" s="16" t="s">
        <v>132</v>
      </c>
      <c r="K77" s="18" t="s">
        <v>81</v>
      </c>
      <c r="L77" s="16" t="s">
        <v>854</v>
      </c>
      <c r="M77" s="16"/>
      <c r="N77" s="16">
        <v>55</v>
      </c>
      <c r="O77" s="16" t="s">
        <v>855</v>
      </c>
      <c r="P77" s="25" t="s">
        <v>186</v>
      </c>
      <c r="Q77" s="25" t="s">
        <v>187</v>
      </c>
      <c r="R77" s="16" t="s">
        <v>188</v>
      </c>
      <c r="S77" s="16" t="s">
        <v>189</v>
      </c>
      <c r="T77" s="16" t="s">
        <v>348</v>
      </c>
      <c r="U77" s="16" t="s">
        <v>190</v>
      </c>
      <c r="V77" s="16" t="s">
        <v>191</v>
      </c>
      <c r="W77" s="16"/>
      <c r="X77" s="16">
        <v>31</v>
      </c>
      <c r="Y77" s="16" t="s">
        <v>856</v>
      </c>
      <c r="Z77" s="16" t="s">
        <v>204</v>
      </c>
      <c r="AA77" s="16" t="s">
        <v>81</v>
      </c>
      <c r="AB77" s="16" t="s">
        <v>857</v>
      </c>
      <c r="AC77" s="2" t="s">
        <v>843</v>
      </c>
      <c r="AD77" s="21">
        <v>137.26983143983799</v>
      </c>
      <c r="AG77" s="23" t="s">
        <v>151</v>
      </c>
    </row>
    <row r="78" spans="1:33" ht="99.75" customHeight="1">
      <c r="A78" s="16" t="s">
        <v>858</v>
      </c>
      <c r="B78" s="16" t="s">
        <v>859</v>
      </c>
      <c r="C78" s="17" t="s">
        <v>860</v>
      </c>
      <c r="D78" s="18" t="s">
        <v>76</v>
      </c>
      <c r="E78" s="16" t="s">
        <v>829</v>
      </c>
      <c r="F78" s="16" t="s">
        <v>829</v>
      </c>
      <c r="G78" s="16">
        <v>22514940000</v>
      </c>
      <c r="H78" s="16" t="s">
        <v>830</v>
      </c>
      <c r="I78" s="19">
        <v>24.541284600000001</v>
      </c>
      <c r="J78" s="16" t="s">
        <v>132</v>
      </c>
      <c r="K78" s="18" t="s">
        <v>81</v>
      </c>
      <c r="L78" s="16" t="s">
        <v>861</v>
      </c>
      <c r="M78" s="16"/>
      <c r="N78" s="16">
        <v>18</v>
      </c>
      <c r="O78" s="16" t="s">
        <v>862</v>
      </c>
      <c r="P78" s="25" t="s">
        <v>186</v>
      </c>
      <c r="Q78" s="25" t="s">
        <v>187</v>
      </c>
      <c r="R78" s="16" t="s">
        <v>188</v>
      </c>
      <c r="S78" s="16" t="s">
        <v>189</v>
      </c>
      <c r="T78" s="16" t="s">
        <v>348</v>
      </c>
      <c r="U78" s="16" t="s">
        <v>190</v>
      </c>
      <c r="V78" s="16" t="s">
        <v>191</v>
      </c>
      <c r="W78" s="16"/>
      <c r="X78" s="16">
        <v>4</v>
      </c>
      <c r="Y78" s="16" t="s">
        <v>863</v>
      </c>
      <c r="Z78" s="16" t="s">
        <v>204</v>
      </c>
      <c r="AA78" s="16" t="s">
        <v>81</v>
      </c>
      <c r="AB78" s="16" t="s">
        <v>864</v>
      </c>
      <c r="AC78" s="2" t="s">
        <v>843</v>
      </c>
      <c r="AD78" s="21">
        <v>26.0135851009871</v>
      </c>
      <c r="AG78" s="23" t="s">
        <v>151</v>
      </c>
    </row>
    <row r="79" spans="1:33" ht="99.75" customHeight="1">
      <c r="A79" s="16" t="s">
        <v>865</v>
      </c>
      <c r="B79" s="16" t="s">
        <v>866</v>
      </c>
      <c r="C79" s="17" t="s">
        <v>867</v>
      </c>
      <c r="D79" s="18" t="s">
        <v>76</v>
      </c>
      <c r="E79" s="16" t="s">
        <v>829</v>
      </c>
      <c r="F79" s="16" t="s">
        <v>829</v>
      </c>
      <c r="G79" s="16">
        <v>134966000000</v>
      </c>
      <c r="H79" s="16" t="s">
        <v>830</v>
      </c>
      <c r="I79" s="19">
        <v>147.11294000000001</v>
      </c>
      <c r="J79" s="16" t="s">
        <v>132</v>
      </c>
      <c r="K79" s="18" t="s">
        <v>81</v>
      </c>
      <c r="L79" s="16" t="s">
        <v>868</v>
      </c>
      <c r="M79" s="16"/>
      <c r="N79" s="16">
        <v>60</v>
      </c>
      <c r="O79" s="16" t="s">
        <v>869</v>
      </c>
      <c r="P79" s="25" t="s">
        <v>186</v>
      </c>
      <c r="Q79" s="25" t="s">
        <v>187</v>
      </c>
      <c r="R79" s="16" t="s">
        <v>188</v>
      </c>
      <c r="S79" s="16" t="s">
        <v>189</v>
      </c>
      <c r="T79" s="16" t="s">
        <v>348</v>
      </c>
      <c r="U79" s="16" t="s">
        <v>190</v>
      </c>
      <c r="V79" s="16" t="s">
        <v>191</v>
      </c>
      <c r="W79" s="16"/>
      <c r="X79" s="16">
        <v>176</v>
      </c>
      <c r="Y79" s="16" t="s">
        <v>870</v>
      </c>
      <c r="Z79" s="16" t="s">
        <v>204</v>
      </c>
      <c r="AA79" s="16" t="s">
        <v>81</v>
      </c>
      <c r="AB79" s="16" t="s">
        <v>871</v>
      </c>
      <c r="AC79" s="2" t="s">
        <v>872</v>
      </c>
      <c r="AD79" s="21">
        <v>155.93865791957799</v>
      </c>
      <c r="AG79" s="23" t="s">
        <v>151</v>
      </c>
    </row>
    <row r="80" spans="1:33" ht="99.75" customHeight="1">
      <c r="A80" s="16" t="s">
        <v>873</v>
      </c>
      <c r="B80" s="16" t="s">
        <v>874</v>
      </c>
      <c r="C80" s="17" t="s">
        <v>875</v>
      </c>
      <c r="D80" s="18" t="s">
        <v>76</v>
      </c>
      <c r="E80" s="16" t="s">
        <v>829</v>
      </c>
      <c r="F80" s="16" t="s">
        <v>829</v>
      </c>
      <c r="G80" s="16">
        <v>28897730000</v>
      </c>
      <c r="H80" s="16" t="s">
        <v>830</v>
      </c>
      <c r="I80" s="19">
        <v>31.498525699999998</v>
      </c>
      <c r="J80" s="16" t="s">
        <v>132</v>
      </c>
      <c r="K80" s="18" t="s">
        <v>81</v>
      </c>
      <c r="L80" s="16" t="s">
        <v>876</v>
      </c>
      <c r="M80" s="16"/>
      <c r="N80" s="16">
        <v>40</v>
      </c>
      <c r="O80" s="16" t="s">
        <v>877</v>
      </c>
      <c r="P80" s="25" t="s">
        <v>186</v>
      </c>
      <c r="Q80" s="25" t="s">
        <v>187</v>
      </c>
      <c r="R80" s="16" t="s">
        <v>188</v>
      </c>
      <c r="S80" s="16" t="s">
        <v>189</v>
      </c>
      <c r="T80" s="16" t="s">
        <v>348</v>
      </c>
      <c r="U80" s="16" t="s">
        <v>190</v>
      </c>
      <c r="V80" s="16" t="s">
        <v>191</v>
      </c>
      <c r="W80" s="16"/>
      <c r="X80" s="16">
        <v>16</v>
      </c>
      <c r="Y80" s="16" t="s">
        <v>878</v>
      </c>
      <c r="Z80" s="16" t="s">
        <v>253</v>
      </c>
      <c r="AA80" s="16" t="s">
        <v>81</v>
      </c>
      <c r="AB80" s="16" t="s">
        <v>879</v>
      </c>
      <c r="AC80" s="2" t="s">
        <v>880</v>
      </c>
      <c r="AD80" s="21">
        <v>33.388210609504</v>
      </c>
      <c r="AG80" s="23" t="s">
        <v>151</v>
      </c>
    </row>
    <row r="81" spans="1:33" ht="128.25" customHeight="1">
      <c r="A81" s="16" t="s">
        <v>881</v>
      </c>
      <c r="B81" s="16" t="s">
        <v>882</v>
      </c>
      <c r="C81" s="17" t="s">
        <v>883</v>
      </c>
      <c r="D81" s="18" t="s">
        <v>76</v>
      </c>
      <c r="E81" s="16" t="s">
        <v>829</v>
      </c>
      <c r="F81" s="16" t="s">
        <v>829</v>
      </c>
      <c r="G81" s="16">
        <v>57015710000</v>
      </c>
      <c r="H81" s="16" t="s">
        <v>830</v>
      </c>
      <c r="I81" s="19">
        <v>62.147123899999997</v>
      </c>
      <c r="J81" s="16" t="s">
        <v>132</v>
      </c>
      <c r="K81" s="18" t="s">
        <v>81</v>
      </c>
      <c r="L81" s="16" t="s">
        <v>884</v>
      </c>
      <c r="M81" s="16"/>
      <c r="N81" s="16">
        <v>45</v>
      </c>
      <c r="O81" s="16" t="s">
        <v>885</v>
      </c>
      <c r="P81" s="20" t="s">
        <v>84</v>
      </c>
      <c r="Q81" s="20" t="s">
        <v>85</v>
      </c>
      <c r="R81" s="16" t="s">
        <v>188</v>
      </c>
      <c r="S81" s="16" t="s">
        <v>189</v>
      </c>
      <c r="T81" s="16" t="s">
        <v>348</v>
      </c>
      <c r="U81" s="16" t="s">
        <v>190</v>
      </c>
      <c r="V81" s="16" t="s">
        <v>432</v>
      </c>
      <c r="W81" s="16"/>
      <c r="X81" s="16">
        <v>100</v>
      </c>
      <c r="Y81" s="16" t="s">
        <v>886</v>
      </c>
      <c r="Z81" s="16" t="s">
        <v>326</v>
      </c>
      <c r="AA81" s="16" t="s">
        <v>81</v>
      </c>
      <c r="AB81" s="16" t="s">
        <v>887</v>
      </c>
      <c r="AC81" s="2" t="s">
        <v>888</v>
      </c>
      <c r="AD81" s="21">
        <v>65.875504184252705</v>
      </c>
      <c r="AG81" s="23" t="s">
        <v>151</v>
      </c>
    </row>
    <row r="82" spans="1:33" ht="99.75" customHeight="1">
      <c r="A82" s="16" t="s">
        <v>889</v>
      </c>
      <c r="B82" s="16" t="s">
        <v>890</v>
      </c>
      <c r="C82" s="17" t="s">
        <v>891</v>
      </c>
      <c r="D82" s="18" t="s">
        <v>76</v>
      </c>
      <c r="E82" s="16" t="s">
        <v>829</v>
      </c>
      <c r="F82" s="16" t="s">
        <v>829</v>
      </c>
      <c r="G82" s="16">
        <v>14536000000</v>
      </c>
      <c r="H82" s="16" t="s">
        <v>830</v>
      </c>
      <c r="I82" s="19">
        <v>15.844239999999999</v>
      </c>
      <c r="J82" s="16" t="s">
        <v>132</v>
      </c>
      <c r="K82" s="18" t="s">
        <v>81</v>
      </c>
      <c r="L82" s="16" t="s">
        <v>892</v>
      </c>
      <c r="M82" s="16"/>
      <c r="N82" s="16">
        <v>22</v>
      </c>
      <c r="O82" s="16" t="s">
        <v>893</v>
      </c>
      <c r="P82" s="25" t="s">
        <v>186</v>
      </c>
      <c r="Q82" s="25" t="s">
        <v>187</v>
      </c>
      <c r="R82" s="16" t="s">
        <v>188</v>
      </c>
      <c r="S82" s="16" t="s">
        <v>189</v>
      </c>
      <c r="T82" s="16" t="s">
        <v>348</v>
      </c>
      <c r="U82" s="16" t="s">
        <v>190</v>
      </c>
      <c r="V82" s="16" t="s">
        <v>191</v>
      </c>
      <c r="W82" s="16"/>
      <c r="X82" s="16">
        <v>36</v>
      </c>
      <c r="Y82" s="16" t="s">
        <v>894</v>
      </c>
      <c r="Z82" s="16" t="s">
        <v>506</v>
      </c>
      <c r="AA82" s="16" t="s">
        <v>81</v>
      </c>
      <c r="AB82" s="16" t="s">
        <v>895</v>
      </c>
      <c r="AC82" s="2" t="s">
        <v>843</v>
      </c>
      <c r="AD82" s="21">
        <v>16.794780400389602</v>
      </c>
      <c r="AG82" s="23" t="s">
        <v>151</v>
      </c>
    </row>
    <row r="83" spans="1:33" ht="99.75" customHeight="1">
      <c r="A83" s="16" t="s">
        <v>896</v>
      </c>
      <c r="B83" s="16" t="s">
        <v>897</v>
      </c>
      <c r="C83" s="17" t="s">
        <v>898</v>
      </c>
      <c r="D83" s="18" t="s">
        <v>76</v>
      </c>
      <c r="E83" s="16" t="s">
        <v>899</v>
      </c>
      <c r="F83" s="16" t="s">
        <v>900</v>
      </c>
      <c r="G83" s="16">
        <v>748476800000</v>
      </c>
      <c r="H83" s="16" t="s">
        <v>901</v>
      </c>
      <c r="I83" s="19">
        <v>95.958564102564097</v>
      </c>
      <c r="J83" s="16" t="s">
        <v>119</v>
      </c>
      <c r="K83" s="18" t="s">
        <v>81</v>
      </c>
      <c r="L83" s="16" t="s">
        <v>902</v>
      </c>
      <c r="M83" s="16"/>
      <c r="N83" s="16">
        <v>35</v>
      </c>
      <c r="O83" s="16" t="s">
        <v>903</v>
      </c>
      <c r="P83" s="25" t="s">
        <v>186</v>
      </c>
      <c r="Q83" s="25" t="s">
        <v>187</v>
      </c>
      <c r="R83" s="16" t="s">
        <v>188</v>
      </c>
      <c r="S83" s="16" t="s">
        <v>189</v>
      </c>
      <c r="T83" s="16" t="s">
        <v>107</v>
      </c>
      <c r="U83" s="16" t="s">
        <v>89</v>
      </c>
      <c r="V83" s="16" t="s">
        <v>904</v>
      </c>
      <c r="W83" s="16"/>
      <c r="X83" s="16">
        <v>1962</v>
      </c>
      <c r="Y83" s="16" t="s">
        <v>905</v>
      </c>
      <c r="Z83" s="16" t="s">
        <v>132</v>
      </c>
      <c r="AA83" s="16" t="s">
        <v>81</v>
      </c>
      <c r="AB83" s="16" t="s">
        <v>906</v>
      </c>
      <c r="AC83" s="2" t="s">
        <v>907</v>
      </c>
      <c r="AD83" s="21">
        <v>95.401419810868603</v>
      </c>
      <c r="AG83" s="23" t="s">
        <v>151</v>
      </c>
    </row>
    <row r="84" spans="1:33" ht="142.5" customHeight="1">
      <c r="A84" s="16" t="s">
        <v>908</v>
      </c>
      <c r="B84" s="16" t="s">
        <v>909</v>
      </c>
      <c r="C84" s="17" t="s">
        <v>910</v>
      </c>
      <c r="D84" s="18" t="s">
        <v>76</v>
      </c>
      <c r="E84" s="16" t="s">
        <v>911</v>
      </c>
      <c r="F84" s="16" t="s">
        <v>911</v>
      </c>
      <c r="G84" s="16">
        <v>118600000000</v>
      </c>
      <c r="H84" s="16" t="s">
        <v>912</v>
      </c>
      <c r="I84" s="19">
        <v>87.851851851851904</v>
      </c>
      <c r="J84" s="16" t="s">
        <v>227</v>
      </c>
      <c r="K84" s="20" t="s">
        <v>102</v>
      </c>
      <c r="L84" s="16" t="s">
        <v>913</v>
      </c>
      <c r="M84" s="16"/>
      <c r="N84" s="16">
        <v>18</v>
      </c>
      <c r="O84" s="16" t="s">
        <v>172</v>
      </c>
      <c r="P84" s="25" t="s">
        <v>186</v>
      </c>
      <c r="Q84" s="25" t="s">
        <v>187</v>
      </c>
      <c r="R84" s="16" t="s">
        <v>188</v>
      </c>
      <c r="S84" s="16" t="s">
        <v>189</v>
      </c>
      <c r="T84" s="16" t="s">
        <v>107</v>
      </c>
      <c r="U84" s="16" t="s">
        <v>89</v>
      </c>
      <c r="V84" s="16" t="s">
        <v>904</v>
      </c>
      <c r="W84" s="16"/>
      <c r="X84" s="16">
        <v>153</v>
      </c>
      <c r="Y84" s="16" t="s">
        <v>905</v>
      </c>
      <c r="Z84" s="16" t="s">
        <v>914</v>
      </c>
      <c r="AA84" s="16" t="s">
        <v>81</v>
      </c>
      <c r="AB84" s="16" t="s">
        <v>915</v>
      </c>
      <c r="AC84" s="2" t="s">
        <v>916</v>
      </c>
      <c r="AD84" s="21">
        <v>92.718762728308207</v>
      </c>
      <c r="AG84" s="26" t="s">
        <v>207</v>
      </c>
    </row>
    <row r="85" spans="1:33" ht="99.75" customHeight="1">
      <c r="A85" s="16" t="s">
        <v>917</v>
      </c>
      <c r="B85" s="16" t="s">
        <v>918</v>
      </c>
      <c r="C85" s="17" t="s">
        <v>919</v>
      </c>
      <c r="D85" s="18" t="s">
        <v>76</v>
      </c>
      <c r="E85" s="16" t="s">
        <v>920</v>
      </c>
      <c r="F85" s="16" t="s">
        <v>921</v>
      </c>
      <c r="G85" s="16">
        <v>13488000000000</v>
      </c>
      <c r="H85" s="16" t="s">
        <v>922</v>
      </c>
      <c r="I85" s="19">
        <v>173.993808049536</v>
      </c>
      <c r="J85" s="16" t="s">
        <v>317</v>
      </c>
      <c r="K85" s="18" t="s">
        <v>81</v>
      </c>
      <c r="L85" s="16" t="s">
        <v>923</v>
      </c>
      <c r="M85" s="16"/>
      <c r="N85" s="16">
        <v>22</v>
      </c>
      <c r="O85" s="16" t="s">
        <v>924</v>
      </c>
      <c r="P85" s="20" t="s">
        <v>84</v>
      </c>
      <c r="Q85" s="20" t="s">
        <v>85</v>
      </c>
      <c r="R85" s="16" t="s">
        <v>188</v>
      </c>
      <c r="S85" s="16" t="s">
        <v>189</v>
      </c>
      <c r="T85" s="16" t="s">
        <v>348</v>
      </c>
      <c r="U85" s="16" t="s">
        <v>89</v>
      </c>
      <c r="V85" s="16" t="s">
        <v>504</v>
      </c>
      <c r="W85" s="16"/>
      <c r="X85" s="16">
        <v>841</v>
      </c>
      <c r="Y85" s="16" t="s">
        <v>349</v>
      </c>
      <c r="Z85" s="16" t="s">
        <v>227</v>
      </c>
      <c r="AA85" s="16" t="s">
        <v>81</v>
      </c>
      <c r="AB85" s="16" t="s">
        <v>925</v>
      </c>
      <c r="AC85" s="10" t="s">
        <v>926</v>
      </c>
      <c r="AD85" s="21">
        <v>164.54964745164801</v>
      </c>
      <c r="AG85" s="23" t="s">
        <v>151</v>
      </c>
    </row>
  </sheetData>
  <autoFilter ref="A1:AB85" xr:uid="{00000000-0009-0000-0000-000001000000}"/>
  <mergeCells count="2"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"/>
  <sheetViews>
    <sheetView zoomScaleNormal="100" workbookViewId="0">
      <pane xSplit="2" ySplit="1" topLeftCell="BB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1" width="10" customWidth="1"/>
    <col min="2" max="2" width="18" customWidth="1"/>
    <col min="3" max="3" width="12" customWidth="1"/>
    <col min="4" max="4" width="22" customWidth="1"/>
    <col min="5" max="5" width="36" customWidth="1"/>
    <col min="6" max="6" width="10" customWidth="1"/>
    <col min="7" max="7" width="12" customWidth="1"/>
    <col min="8" max="8" width="16" customWidth="1"/>
    <col min="9" max="9" width="12" customWidth="1"/>
    <col min="10" max="10" width="40" customWidth="1"/>
    <col min="11" max="11" width="22" customWidth="1"/>
    <col min="12" max="12" width="36" customWidth="1"/>
  </cols>
  <sheetData>
    <row r="1" spans="1:12" ht="36" customHeight="1">
      <c r="A1" s="11" t="s">
        <v>40</v>
      </c>
      <c r="B1" s="11" t="s">
        <v>41</v>
      </c>
      <c r="C1" s="11" t="s">
        <v>42</v>
      </c>
      <c r="D1" s="11" t="s">
        <v>927</v>
      </c>
      <c r="E1" s="11" t="s">
        <v>64</v>
      </c>
      <c r="F1" s="11" t="s">
        <v>928</v>
      </c>
      <c r="G1" s="11" t="s">
        <v>49</v>
      </c>
      <c r="H1" s="11" t="s">
        <v>929</v>
      </c>
      <c r="I1" s="11" t="s">
        <v>50</v>
      </c>
      <c r="J1" s="11" t="s">
        <v>51</v>
      </c>
      <c r="K1" s="11" t="s">
        <v>930</v>
      </c>
      <c r="L1" s="11" t="s">
        <v>54</v>
      </c>
    </row>
    <row r="2" spans="1:12" ht="28.5" customHeight="1">
      <c r="A2" s="16" t="s">
        <v>73</v>
      </c>
      <c r="B2" s="16" t="s">
        <v>74</v>
      </c>
      <c r="C2" s="17" t="s">
        <v>75</v>
      </c>
      <c r="D2" s="18" t="s">
        <v>76</v>
      </c>
      <c r="E2" s="16" t="s">
        <v>91</v>
      </c>
      <c r="F2" s="16">
        <v>431</v>
      </c>
      <c r="G2" s="16" t="s">
        <v>92</v>
      </c>
      <c r="H2" s="16" t="s">
        <v>931</v>
      </c>
      <c r="I2" s="18" t="s">
        <v>81</v>
      </c>
      <c r="J2" s="16" t="s">
        <v>82</v>
      </c>
      <c r="K2" s="16" t="s">
        <v>932</v>
      </c>
      <c r="L2" s="17" t="s">
        <v>933</v>
      </c>
    </row>
    <row r="3" spans="1:12" ht="28.5" customHeight="1">
      <c r="A3" s="16" t="s">
        <v>95</v>
      </c>
      <c r="B3" s="16" t="s">
        <v>96</v>
      </c>
      <c r="C3" s="17" t="s">
        <v>97</v>
      </c>
      <c r="D3" s="18" t="s">
        <v>76</v>
      </c>
      <c r="E3" s="16" t="s">
        <v>109</v>
      </c>
      <c r="F3" s="16">
        <v>4863</v>
      </c>
      <c r="G3" s="16" t="s">
        <v>110</v>
      </c>
      <c r="H3" s="16" t="s">
        <v>934</v>
      </c>
      <c r="I3" s="18" t="s">
        <v>81</v>
      </c>
      <c r="J3" s="16" t="s">
        <v>111</v>
      </c>
      <c r="K3" s="16" t="s">
        <v>935</v>
      </c>
      <c r="L3" s="17" t="s">
        <v>936</v>
      </c>
    </row>
    <row r="4" spans="1:12" ht="57" customHeight="1">
      <c r="A4" s="16" t="s">
        <v>113</v>
      </c>
      <c r="B4" s="16" t="s">
        <v>114</v>
      </c>
      <c r="C4" s="17" t="s">
        <v>115</v>
      </c>
      <c r="D4" s="18" t="s">
        <v>76</v>
      </c>
      <c r="E4" s="16" t="s">
        <v>122</v>
      </c>
      <c r="F4" s="16">
        <v>145</v>
      </c>
      <c r="G4" s="16" t="s">
        <v>123</v>
      </c>
      <c r="H4" s="16" t="s">
        <v>937</v>
      </c>
      <c r="I4" s="18" t="s">
        <v>81</v>
      </c>
      <c r="J4" s="16" t="s">
        <v>124</v>
      </c>
      <c r="K4" s="16" t="s">
        <v>938</v>
      </c>
      <c r="L4" s="16" t="s">
        <v>939</v>
      </c>
    </row>
    <row r="5" spans="1:12" ht="28.5" customHeight="1">
      <c r="A5" s="16" t="s">
        <v>126</v>
      </c>
      <c r="B5" s="16" t="s">
        <v>127</v>
      </c>
      <c r="C5" s="17" t="s">
        <v>128</v>
      </c>
      <c r="D5" s="18" t="s">
        <v>76</v>
      </c>
      <c r="E5" s="16" t="s">
        <v>135</v>
      </c>
      <c r="F5" s="16">
        <v>73</v>
      </c>
      <c r="G5" s="16" t="s">
        <v>136</v>
      </c>
      <c r="H5" s="16" t="s">
        <v>940</v>
      </c>
      <c r="I5" s="18" t="s">
        <v>81</v>
      </c>
      <c r="J5" s="16" t="s">
        <v>137</v>
      </c>
      <c r="K5" s="16" t="s">
        <v>941</v>
      </c>
      <c r="L5" s="16" t="s">
        <v>942</v>
      </c>
    </row>
    <row r="6" spans="1:12" ht="28.5" customHeight="1">
      <c r="A6" s="16" t="s">
        <v>139</v>
      </c>
      <c r="B6" s="16" t="s">
        <v>140</v>
      </c>
      <c r="C6" s="17" t="s">
        <v>141</v>
      </c>
      <c r="D6" s="18" t="s">
        <v>76</v>
      </c>
      <c r="E6" s="16" t="s">
        <v>147</v>
      </c>
      <c r="F6" s="16">
        <v>6</v>
      </c>
      <c r="G6" s="16" t="s">
        <v>148</v>
      </c>
      <c r="H6" s="16" t="s">
        <v>937</v>
      </c>
      <c r="I6" s="18" t="s">
        <v>81</v>
      </c>
      <c r="J6" s="16" t="s">
        <v>149</v>
      </c>
      <c r="K6" s="16" t="s">
        <v>943</v>
      </c>
      <c r="L6" s="17" t="s">
        <v>944</v>
      </c>
    </row>
    <row r="7" spans="1:12" ht="28.5" customHeight="1">
      <c r="A7" s="16" t="s">
        <v>152</v>
      </c>
      <c r="B7" s="16" t="s">
        <v>35</v>
      </c>
      <c r="C7" s="17" t="s">
        <v>153</v>
      </c>
      <c r="D7" s="18" t="s">
        <v>76</v>
      </c>
      <c r="E7" s="16" t="s">
        <v>160</v>
      </c>
      <c r="F7" s="16">
        <v>2748</v>
      </c>
      <c r="G7" s="16" t="s">
        <v>161</v>
      </c>
      <c r="H7" s="16" t="s">
        <v>945</v>
      </c>
      <c r="I7" s="18" t="s">
        <v>81</v>
      </c>
      <c r="J7" s="16" t="s">
        <v>162</v>
      </c>
      <c r="K7" s="16" t="s">
        <v>946</v>
      </c>
      <c r="L7" s="17" t="s">
        <v>947</v>
      </c>
    </row>
    <row r="8" spans="1:12" ht="16.5" customHeight="1">
      <c r="A8" s="16" t="s">
        <v>164</v>
      </c>
      <c r="B8" s="16" t="s">
        <v>165</v>
      </c>
      <c r="C8" s="17" t="s">
        <v>166</v>
      </c>
      <c r="D8" s="18" t="s">
        <v>76</v>
      </c>
      <c r="E8" s="16" t="s">
        <v>173</v>
      </c>
      <c r="F8" s="16">
        <v>16</v>
      </c>
      <c r="G8" s="16" t="s">
        <v>174</v>
      </c>
      <c r="H8" s="16" t="s">
        <v>937</v>
      </c>
      <c r="I8" s="18" t="s">
        <v>81</v>
      </c>
      <c r="J8" s="16" t="s">
        <v>175</v>
      </c>
      <c r="K8" s="16" t="s">
        <v>948</v>
      </c>
      <c r="L8" s="16"/>
    </row>
    <row r="9" spans="1:12" ht="28.5" customHeight="1">
      <c r="A9" s="16" t="s">
        <v>177</v>
      </c>
      <c r="B9" s="16" t="s">
        <v>178</v>
      </c>
      <c r="C9" s="17" t="s">
        <v>179</v>
      </c>
      <c r="D9" s="18" t="s">
        <v>76</v>
      </c>
      <c r="E9" s="16" t="s">
        <v>192</v>
      </c>
      <c r="F9" s="16">
        <v>1475</v>
      </c>
      <c r="G9" s="16" t="s">
        <v>123</v>
      </c>
      <c r="H9" s="16" t="s">
        <v>945</v>
      </c>
      <c r="I9" s="18" t="s">
        <v>81</v>
      </c>
      <c r="J9" s="16" t="s">
        <v>193</v>
      </c>
      <c r="K9" s="16" t="s">
        <v>949</v>
      </c>
      <c r="L9" s="16" t="s">
        <v>950</v>
      </c>
    </row>
    <row r="10" spans="1:12" ht="114" customHeight="1">
      <c r="A10" s="16" t="s">
        <v>195</v>
      </c>
      <c r="B10" s="16" t="s">
        <v>196</v>
      </c>
      <c r="C10" s="17" t="s">
        <v>197</v>
      </c>
      <c r="D10" s="18" t="s">
        <v>76</v>
      </c>
      <c r="E10" s="16" t="s">
        <v>203</v>
      </c>
      <c r="F10" s="16">
        <v>183</v>
      </c>
      <c r="G10" s="16" t="s">
        <v>204</v>
      </c>
      <c r="H10" s="16" t="s">
        <v>934</v>
      </c>
      <c r="I10" s="20" t="s">
        <v>102</v>
      </c>
      <c r="J10" s="16" t="s">
        <v>205</v>
      </c>
      <c r="K10" s="16" t="s">
        <v>951</v>
      </c>
      <c r="L10" s="16" t="s">
        <v>952</v>
      </c>
    </row>
    <row r="11" spans="1:12" ht="85.5" customHeight="1">
      <c r="A11" s="16" t="s">
        <v>208</v>
      </c>
      <c r="B11" s="16" t="s">
        <v>37</v>
      </c>
      <c r="C11" s="17" t="s">
        <v>209</v>
      </c>
      <c r="D11" s="18" t="s">
        <v>76</v>
      </c>
      <c r="E11" s="16" t="s">
        <v>218</v>
      </c>
      <c r="F11" s="16">
        <v>8</v>
      </c>
      <c r="G11" s="16" t="s">
        <v>157</v>
      </c>
      <c r="H11" s="16" t="s">
        <v>937</v>
      </c>
      <c r="I11" s="18" t="s">
        <v>81</v>
      </c>
      <c r="J11" s="16" t="s">
        <v>219</v>
      </c>
      <c r="K11" s="16" t="s">
        <v>953</v>
      </c>
      <c r="L11" s="17" t="s">
        <v>954</v>
      </c>
    </row>
    <row r="12" spans="1:12" ht="28.5" customHeight="1">
      <c r="A12" s="16" t="s">
        <v>221</v>
      </c>
      <c r="B12" s="16" t="s">
        <v>222</v>
      </c>
      <c r="C12" s="17" t="s">
        <v>223</v>
      </c>
      <c r="D12" s="18" t="s">
        <v>76</v>
      </c>
      <c r="E12" s="16" t="s">
        <v>229</v>
      </c>
      <c r="F12" s="16">
        <v>724</v>
      </c>
      <c r="G12" s="16" t="s">
        <v>230</v>
      </c>
      <c r="H12" s="16" t="s">
        <v>937</v>
      </c>
      <c r="I12" s="18" t="s">
        <v>81</v>
      </c>
      <c r="J12" s="16" t="s">
        <v>231</v>
      </c>
      <c r="K12" s="16" t="s">
        <v>955</v>
      </c>
      <c r="L12" s="16"/>
    </row>
    <row r="13" spans="1:12" ht="28.5" customHeight="1">
      <c r="A13" s="16" t="s">
        <v>233</v>
      </c>
      <c r="B13" s="16" t="s">
        <v>36</v>
      </c>
      <c r="C13" s="17" t="s">
        <v>234</v>
      </c>
      <c r="D13" s="18" t="s">
        <v>76</v>
      </c>
      <c r="E13" s="16" t="s">
        <v>241</v>
      </c>
      <c r="F13" s="16">
        <v>116</v>
      </c>
      <c r="G13" s="16" t="s">
        <v>204</v>
      </c>
      <c r="H13" s="16" t="s">
        <v>937</v>
      </c>
      <c r="I13" s="20" t="s">
        <v>102</v>
      </c>
      <c r="J13" s="16" t="s">
        <v>242</v>
      </c>
      <c r="K13" s="16" t="s">
        <v>956</v>
      </c>
      <c r="L13" s="16" t="s">
        <v>957</v>
      </c>
    </row>
    <row r="14" spans="1:12" ht="28.5" customHeight="1">
      <c r="A14" s="16" t="s">
        <v>244</v>
      </c>
      <c r="B14" s="16" t="s">
        <v>245</v>
      </c>
      <c r="C14" s="17" t="s">
        <v>246</v>
      </c>
      <c r="D14" s="18" t="s">
        <v>76</v>
      </c>
      <c r="E14" s="16" t="s">
        <v>252</v>
      </c>
      <c r="F14" s="16">
        <v>31</v>
      </c>
      <c r="G14" s="16" t="s">
        <v>253</v>
      </c>
      <c r="H14" s="16" t="s">
        <v>937</v>
      </c>
      <c r="I14" s="18" t="s">
        <v>81</v>
      </c>
      <c r="J14" s="16" t="s">
        <v>254</v>
      </c>
      <c r="K14" s="16" t="s">
        <v>958</v>
      </c>
      <c r="L14" s="16"/>
    </row>
    <row r="15" spans="1:12" ht="42.75" customHeight="1">
      <c r="A15" s="16" t="s">
        <v>256</v>
      </c>
      <c r="B15" s="16" t="s">
        <v>257</v>
      </c>
      <c r="C15" s="17" t="s">
        <v>258</v>
      </c>
      <c r="D15" s="18" t="s">
        <v>76</v>
      </c>
      <c r="E15" s="16" t="s">
        <v>266</v>
      </c>
      <c r="F15" s="16">
        <v>2145</v>
      </c>
      <c r="G15" s="16" t="s">
        <v>267</v>
      </c>
      <c r="H15" s="16" t="s">
        <v>959</v>
      </c>
      <c r="I15" s="20" t="s">
        <v>102</v>
      </c>
      <c r="J15" s="16" t="s">
        <v>268</v>
      </c>
      <c r="K15" s="16" t="s">
        <v>960</v>
      </c>
      <c r="L15" s="16" t="s">
        <v>961</v>
      </c>
    </row>
    <row r="16" spans="1:12" ht="42.75" customHeight="1">
      <c r="A16" s="16" t="s">
        <v>270</v>
      </c>
      <c r="B16" s="16" t="s">
        <v>271</v>
      </c>
      <c r="C16" s="17" t="s">
        <v>272</v>
      </c>
      <c r="D16" s="18" t="s">
        <v>76</v>
      </c>
      <c r="E16" s="16" t="s">
        <v>278</v>
      </c>
      <c r="F16" s="16">
        <v>136</v>
      </c>
      <c r="G16" s="16" t="s">
        <v>279</v>
      </c>
      <c r="H16" s="16" t="s">
        <v>940</v>
      </c>
      <c r="I16" s="18" t="s">
        <v>81</v>
      </c>
      <c r="J16" s="16" t="s">
        <v>280</v>
      </c>
      <c r="K16" s="16" t="s">
        <v>962</v>
      </c>
      <c r="L16" s="17" t="s">
        <v>963</v>
      </c>
    </row>
    <row r="17" spans="1:12" ht="57" customHeight="1">
      <c r="A17" s="16" t="s">
        <v>282</v>
      </c>
      <c r="B17" s="16" t="s">
        <v>283</v>
      </c>
      <c r="C17" s="17" t="s">
        <v>284</v>
      </c>
      <c r="D17" s="18" t="s">
        <v>76</v>
      </c>
      <c r="E17" s="16" t="s">
        <v>292</v>
      </c>
      <c r="F17" s="16">
        <v>195</v>
      </c>
      <c r="G17" s="16" t="s">
        <v>293</v>
      </c>
      <c r="H17" s="16" t="s">
        <v>937</v>
      </c>
      <c r="I17" s="18" t="s">
        <v>81</v>
      </c>
      <c r="J17" s="16" t="s">
        <v>294</v>
      </c>
      <c r="K17" s="16" t="s">
        <v>964</v>
      </c>
      <c r="L17" s="16" t="s">
        <v>965</v>
      </c>
    </row>
    <row r="18" spans="1:12" ht="42.75" customHeight="1">
      <c r="A18" s="16" t="s">
        <v>296</v>
      </c>
      <c r="B18" s="16" t="s">
        <v>297</v>
      </c>
      <c r="C18" s="17" t="s">
        <v>298</v>
      </c>
      <c r="D18" s="18" t="s">
        <v>76</v>
      </c>
      <c r="E18" s="16" t="s">
        <v>305</v>
      </c>
      <c r="F18" s="16">
        <v>8147</v>
      </c>
      <c r="G18" s="16" t="s">
        <v>92</v>
      </c>
      <c r="H18" s="16" t="s">
        <v>945</v>
      </c>
      <c r="I18" s="18" t="s">
        <v>81</v>
      </c>
      <c r="J18" s="16" t="s">
        <v>306</v>
      </c>
      <c r="K18" s="16" t="s">
        <v>966</v>
      </c>
      <c r="L18" s="16" t="s">
        <v>967</v>
      </c>
    </row>
    <row r="19" spans="1:12" ht="42.75" customHeight="1">
      <c r="A19" s="16" t="s">
        <v>308</v>
      </c>
      <c r="B19" s="16" t="s">
        <v>309</v>
      </c>
      <c r="C19" s="17" t="s">
        <v>310</v>
      </c>
      <c r="D19" s="18" t="s">
        <v>76</v>
      </c>
      <c r="E19" s="16" t="s">
        <v>316</v>
      </c>
      <c r="F19" s="16">
        <v>785</v>
      </c>
      <c r="G19" s="16" t="s">
        <v>317</v>
      </c>
      <c r="H19" s="16" t="s">
        <v>945</v>
      </c>
      <c r="I19" s="20" t="s">
        <v>102</v>
      </c>
      <c r="J19" s="16" t="s">
        <v>968</v>
      </c>
      <c r="K19" s="16" t="s">
        <v>969</v>
      </c>
      <c r="L19" s="17" t="s">
        <v>970</v>
      </c>
    </row>
    <row r="20" spans="1:12" ht="42.75" customHeight="1">
      <c r="A20" s="16" t="s">
        <v>320</v>
      </c>
      <c r="B20" s="16" t="s">
        <v>321</v>
      </c>
      <c r="C20" s="17" t="s">
        <v>322</v>
      </c>
      <c r="D20" s="18" t="s">
        <v>76</v>
      </c>
      <c r="E20" s="16" t="s">
        <v>173</v>
      </c>
      <c r="F20" s="16">
        <v>11</v>
      </c>
      <c r="G20" s="16" t="s">
        <v>279</v>
      </c>
      <c r="H20" s="16" t="s">
        <v>937</v>
      </c>
      <c r="I20" s="18" t="s">
        <v>81</v>
      </c>
      <c r="J20" s="16" t="s">
        <v>328</v>
      </c>
      <c r="K20" s="16" t="s">
        <v>971</v>
      </c>
      <c r="L20" s="16"/>
    </row>
    <row r="21" spans="1:12" ht="42.75" customHeight="1">
      <c r="A21" s="16" t="s">
        <v>330</v>
      </c>
      <c r="B21" s="16" t="s">
        <v>331</v>
      </c>
      <c r="C21" s="17" t="s">
        <v>332</v>
      </c>
      <c r="D21" s="18" t="s">
        <v>76</v>
      </c>
      <c r="E21" s="16" t="s">
        <v>336</v>
      </c>
      <c r="F21" s="16">
        <v>577</v>
      </c>
      <c r="G21" s="16" t="s">
        <v>337</v>
      </c>
      <c r="H21" s="16" t="s">
        <v>937</v>
      </c>
      <c r="I21" s="18" t="s">
        <v>81</v>
      </c>
      <c r="J21" s="16" t="s">
        <v>338</v>
      </c>
      <c r="K21" s="16" t="s">
        <v>972</v>
      </c>
      <c r="L21" s="16"/>
    </row>
    <row r="22" spans="1:12" ht="28.5" customHeight="1">
      <c r="A22" s="16" t="s">
        <v>340</v>
      </c>
      <c r="B22" s="16" t="s">
        <v>341</v>
      </c>
      <c r="C22" s="17" t="s">
        <v>342</v>
      </c>
      <c r="D22" s="18" t="s">
        <v>76</v>
      </c>
      <c r="E22" s="16" t="s">
        <v>349</v>
      </c>
      <c r="F22" s="16">
        <v>215</v>
      </c>
      <c r="G22" s="16" t="s">
        <v>350</v>
      </c>
      <c r="H22" s="16" t="s">
        <v>940</v>
      </c>
      <c r="I22" s="18" t="s">
        <v>81</v>
      </c>
      <c r="J22" s="16" t="s">
        <v>351</v>
      </c>
      <c r="K22" s="16" t="s">
        <v>973</v>
      </c>
      <c r="L22" s="17" t="s">
        <v>974</v>
      </c>
    </row>
    <row r="23" spans="1:12" ht="28.5" customHeight="1">
      <c r="A23" s="16" t="s">
        <v>353</v>
      </c>
      <c r="B23" s="16" t="s">
        <v>354</v>
      </c>
      <c r="C23" s="17" t="s">
        <v>355</v>
      </c>
      <c r="D23" s="18" t="s">
        <v>76</v>
      </c>
      <c r="E23" s="16" t="s">
        <v>349</v>
      </c>
      <c r="F23" s="16">
        <v>132</v>
      </c>
      <c r="G23" s="16" t="s">
        <v>359</v>
      </c>
      <c r="H23" s="16" t="s">
        <v>934</v>
      </c>
      <c r="I23" s="18" t="s">
        <v>81</v>
      </c>
      <c r="J23" s="16" t="s">
        <v>361</v>
      </c>
      <c r="K23" s="16" t="s">
        <v>975</v>
      </c>
      <c r="L23" s="16"/>
    </row>
    <row r="24" spans="1:12" ht="28.5" customHeight="1">
      <c r="A24" s="16" t="s">
        <v>363</v>
      </c>
      <c r="B24" s="16" t="s">
        <v>364</v>
      </c>
      <c r="C24" s="17" t="s">
        <v>365</v>
      </c>
      <c r="D24" s="18" t="s">
        <v>76</v>
      </c>
      <c r="E24" s="16" t="s">
        <v>349</v>
      </c>
      <c r="F24" s="16">
        <v>106</v>
      </c>
      <c r="G24" s="16" t="s">
        <v>267</v>
      </c>
      <c r="H24" s="16" t="s">
        <v>940</v>
      </c>
      <c r="I24" s="18" t="s">
        <v>81</v>
      </c>
      <c r="J24" s="16" t="s">
        <v>371</v>
      </c>
      <c r="K24" s="16" t="s">
        <v>976</v>
      </c>
      <c r="L24" s="16"/>
    </row>
    <row r="25" spans="1:12" ht="42.75" customHeight="1">
      <c r="A25" s="16" t="s">
        <v>373</v>
      </c>
      <c r="B25" s="16" t="s">
        <v>374</v>
      </c>
      <c r="C25" s="17" t="s">
        <v>375</v>
      </c>
      <c r="D25" s="18" t="s">
        <v>76</v>
      </c>
      <c r="E25" s="16" t="s">
        <v>349</v>
      </c>
      <c r="F25" s="16">
        <v>51</v>
      </c>
      <c r="G25" s="16" t="s">
        <v>227</v>
      </c>
      <c r="H25" s="16" t="s">
        <v>940</v>
      </c>
      <c r="I25" s="18" t="s">
        <v>81</v>
      </c>
      <c r="J25" s="16" t="s">
        <v>380</v>
      </c>
      <c r="K25" s="16" t="s">
        <v>977</v>
      </c>
      <c r="L25" s="16"/>
    </row>
    <row r="26" spans="1:12" ht="28.5" customHeight="1">
      <c r="A26" s="16" t="s">
        <v>382</v>
      </c>
      <c r="B26" s="16" t="s">
        <v>383</v>
      </c>
      <c r="C26" s="17" t="s">
        <v>384</v>
      </c>
      <c r="D26" s="27" t="s">
        <v>978</v>
      </c>
      <c r="E26" s="16"/>
      <c r="F26" s="16"/>
      <c r="G26" s="16"/>
      <c r="H26" s="16"/>
      <c r="I26" s="16"/>
      <c r="J26" s="16"/>
      <c r="K26" s="16"/>
      <c r="L26" s="16" t="s">
        <v>979</v>
      </c>
    </row>
    <row r="27" spans="1:12" ht="27.75" customHeight="1">
      <c r="A27" s="16" t="s">
        <v>391</v>
      </c>
      <c r="B27" s="16" t="s">
        <v>392</v>
      </c>
      <c r="C27" s="17" t="s">
        <v>393</v>
      </c>
      <c r="D27" s="18" t="s">
        <v>76</v>
      </c>
      <c r="E27" s="16" t="s">
        <v>122</v>
      </c>
      <c r="F27" s="16">
        <v>19</v>
      </c>
      <c r="G27" s="16" t="s">
        <v>279</v>
      </c>
      <c r="H27" s="16" t="s">
        <v>937</v>
      </c>
      <c r="I27" s="18" t="s">
        <v>81</v>
      </c>
      <c r="J27" s="16" t="s">
        <v>399</v>
      </c>
      <c r="K27" s="16" t="s">
        <v>980</v>
      </c>
      <c r="L27" s="16"/>
    </row>
    <row r="28" spans="1:12" ht="42.75" customHeight="1">
      <c r="A28" s="16" t="s">
        <v>401</v>
      </c>
      <c r="B28" s="16" t="s">
        <v>402</v>
      </c>
      <c r="C28" s="17" t="s">
        <v>403</v>
      </c>
      <c r="D28" s="18" t="s">
        <v>76</v>
      </c>
      <c r="E28" s="16" t="s">
        <v>410</v>
      </c>
      <c r="F28" s="16">
        <v>585</v>
      </c>
      <c r="G28" s="16" t="s">
        <v>227</v>
      </c>
      <c r="H28" s="16" t="s">
        <v>945</v>
      </c>
      <c r="I28" s="18" t="s">
        <v>81</v>
      </c>
      <c r="J28" s="16" t="s">
        <v>411</v>
      </c>
      <c r="K28" s="16" t="s">
        <v>981</v>
      </c>
      <c r="L28" s="16"/>
    </row>
    <row r="29" spans="1:12" ht="28.5" customHeight="1">
      <c r="A29" s="16" t="s">
        <v>413</v>
      </c>
      <c r="B29" s="16" t="s">
        <v>414</v>
      </c>
      <c r="C29" s="17" t="s">
        <v>415</v>
      </c>
      <c r="D29" s="18" t="s">
        <v>76</v>
      </c>
      <c r="E29" s="16" t="s">
        <v>173</v>
      </c>
      <c r="F29" s="16">
        <v>7</v>
      </c>
      <c r="G29" s="16" t="s">
        <v>204</v>
      </c>
      <c r="H29" s="16" t="s">
        <v>937</v>
      </c>
      <c r="I29" s="18" t="s">
        <v>81</v>
      </c>
      <c r="J29" s="16" t="s">
        <v>421</v>
      </c>
      <c r="K29" s="16" t="s">
        <v>982</v>
      </c>
      <c r="L29" s="16"/>
    </row>
    <row r="30" spans="1:12" ht="42.75" customHeight="1">
      <c r="A30" s="16" t="s">
        <v>423</v>
      </c>
      <c r="B30" s="16" t="s">
        <v>424</v>
      </c>
      <c r="C30" s="17" t="s">
        <v>425</v>
      </c>
      <c r="D30" s="18" t="s">
        <v>76</v>
      </c>
      <c r="E30" s="16" t="s">
        <v>433</v>
      </c>
      <c r="F30" s="16">
        <v>7</v>
      </c>
      <c r="G30" s="16" t="s">
        <v>279</v>
      </c>
      <c r="H30" s="16" t="s">
        <v>937</v>
      </c>
      <c r="I30" s="18" t="s">
        <v>81</v>
      </c>
      <c r="J30" s="16" t="s">
        <v>434</v>
      </c>
      <c r="K30" s="16" t="s">
        <v>983</v>
      </c>
      <c r="L30" s="17" t="s">
        <v>984</v>
      </c>
    </row>
    <row r="31" spans="1:12" ht="42.75" customHeight="1">
      <c r="A31" s="16" t="s">
        <v>436</v>
      </c>
      <c r="B31" s="16" t="s">
        <v>437</v>
      </c>
      <c r="C31" s="17" t="s">
        <v>438</v>
      </c>
      <c r="D31" s="18" t="s">
        <v>76</v>
      </c>
      <c r="E31" s="16" t="s">
        <v>444</v>
      </c>
      <c r="F31" s="16">
        <v>48</v>
      </c>
      <c r="G31" s="16" t="s">
        <v>101</v>
      </c>
      <c r="H31" s="16" t="s">
        <v>937</v>
      </c>
      <c r="I31" s="20" t="s">
        <v>102</v>
      </c>
      <c r="J31" s="16" t="s">
        <v>985</v>
      </c>
      <c r="K31" s="16" t="s">
        <v>986</v>
      </c>
      <c r="L31" s="17" t="s">
        <v>987</v>
      </c>
    </row>
    <row r="32" spans="1:12" ht="28.5" customHeight="1">
      <c r="A32" s="16" t="s">
        <v>447</v>
      </c>
      <c r="B32" s="16" t="s">
        <v>448</v>
      </c>
      <c r="C32" s="17" t="s">
        <v>449</v>
      </c>
      <c r="D32" s="18" t="s">
        <v>76</v>
      </c>
      <c r="E32" s="16" t="s">
        <v>122</v>
      </c>
      <c r="F32" s="16">
        <v>30</v>
      </c>
      <c r="G32" s="16" t="s">
        <v>204</v>
      </c>
      <c r="H32" s="16" t="s">
        <v>937</v>
      </c>
      <c r="I32" s="18" t="s">
        <v>81</v>
      </c>
      <c r="J32" s="16" t="s">
        <v>456</v>
      </c>
      <c r="K32" s="16" t="s">
        <v>988</v>
      </c>
      <c r="L32" s="16"/>
    </row>
    <row r="33" spans="1:12" ht="28.5" customHeight="1">
      <c r="A33" s="16" t="s">
        <v>458</v>
      </c>
      <c r="B33" s="16" t="s">
        <v>459</v>
      </c>
      <c r="C33" s="17" t="s">
        <v>460</v>
      </c>
      <c r="D33" s="18" t="s">
        <v>76</v>
      </c>
      <c r="E33" s="16" t="s">
        <v>462</v>
      </c>
      <c r="F33" s="16">
        <v>8</v>
      </c>
      <c r="G33" s="16" t="s">
        <v>463</v>
      </c>
      <c r="H33" s="16" t="s">
        <v>937</v>
      </c>
      <c r="I33" s="18" t="s">
        <v>81</v>
      </c>
      <c r="J33" s="16" t="s">
        <v>464</v>
      </c>
      <c r="K33" s="16" t="s">
        <v>989</v>
      </c>
      <c r="L33" s="16" t="s">
        <v>990</v>
      </c>
    </row>
    <row r="34" spans="1:12" ht="42.75" customHeight="1">
      <c r="A34" s="16" t="s">
        <v>467</v>
      </c>
      <c r="B34" s="16" t="s">
        <v>468</v>
      </c>
      <c r="C34" s="17" t="s">
        <v>469</v>
      </c>
      <c r="D34" s="18" t="s">
        <v>76</v>
      </c>
      <c r="E34" s="16" t="s">
        <v>474</v>
      </c>
      <c r="F34" s="16">
        <v>8</v>
      </c>
      <c r="G34" s="16" t="s">
        <v>326</v>
      </c>
      <c r="H34" s="16" t="s">
        <v>937</v>
      </c>
      <c r="I34" s="18" t="s">
        <v>81</v>
      </c>
      <c r="J34" s="16" t="s">
        <v>475</v>
      </c>
      <c r="K34" s="16" t="s">
        <v>991</v>
      </c>
      <c r="L34" s="16"/>
    </row>
    <row r="35" spans="1:12" ht="28.5" customHeight="1">
      <c r="A35" s="16" t="s">
        <v>477</v>
      </c>
      <c r="B35" s="16" t="s">
        <v>478</v>
      </c>
      <c r="C35" s="17" t="s">
        <v>479</v>
      </c>
      <c r="D35" s="27" t="s">
        <v>978</v>
      </c>
      <c r="E35" s="16"/>
      <c r="F35" s="16"/>
      <c r="G35" s="16"/>
      <c r="H35" s="16"/>
      <c r="I35" s="16"/>
      <c r="J35" s="16"/>
      <c r="K35" s="16"/>
      <c r="L35" s="16" t="s">
        <v>979</v>
      </c>
    </row>
    <row r="36" spans="1:12" ht="57" customHeight="1">
      <c r="A36" s="16" t="s">
        <v>485</v>
      </c>
      <c r="B36" s="16" t="s">
        <v>486</v>
      </c>
      <c r="C36" s="17" t="s">
        <v>487</v>
      </c>
      <c r="D36" s="18" t="s">
        <v>76</v>
      </c>
      <c r="E36" s="16" t="s">
        <v>491</v>
      </c>
      <c r="F36" s="16">
        <v>51</v>
      </c>
      <c r="G36" s="16" t="s">
        <v>492</v>
      </c>
      <c r="H36" s="16" t="s">
        <v>937</v>
      </c>
      <c r="I36" s="20" t="s">
        <v>102</v>
      </c>
      <c r="J36" s="16" t="s">
        <v>493</v>
      </c>
      <c r="K36" s="16" t="s">
        <v>992</v>
      </c>
      <c r="L36" s="17" t="s">
        <v>993</v>
      </c>
    </row>
    <row r="37" spans="1:12" ht="28.5" customHeight="1">
      <c r="A37" s="16" t="s">
        <v>495</v>
      </c>
      <c r="B37" s="16" t="s">
        <v>496</v>
      </c>
      <c r="C37" s="17" t="s">
        <v>497</v>
      </c>
      <c r="D37" s="18" t="s">
        <v>76</v>
      </c>
      <c r="E37" s="16" t="s">
        <v>505</v>
      </c>
      <c r="F37" s="16">
        <v>78</v>
      </c>
      <c r="G37" s="16" t="s">
        <v>506</v>
      </c>
      <c r="H37" s="16" t="s">
        <v>937</v>
      </c>
      <c r="I37" s="20" t="s">
        <v>102</v>
      </c>
      <c r="J37" s="16" t="s">
        <v>507</v>
      </c>
      <c r="K37" s="16" t="s">
        <v>994</v>
      </c>
      <c r="L37" s="17" t="s">
        <v>995</v>
      </c>
    </row>
    <row r="38" spans="1:12" ht="27.75" customHeight="1">
      <c r="A38" s="16" t="s">
        <v>509</v>
      </c>
      <c r="B38" s="16" t="s">
        <v>510</v>
      </c>
      <c r="C38" s="17" t="s">
        <v>511</v>
      </c>
      <c r="D38" s="18" t="s">
        <v>76</v>
      </c>
      <c r="E38" s="16" t="s">
        <v>518</v>
      </c>
      <c r="F38" s="16">
        <v>21</v>
      </c>
      <c r="G38" s="16" t="s">
        <v>132</v>
      </c>
      <c r="H38" s="16" t="s">
        <v>937</v>
      </c>
      <c r="I38" s="18" t="s">
        <v>81</v>
      </c>
      <c r="J38" s="16" t="s">
        <v>519</v>
      </c>
      <c r="K38" s="16" t="s">
        <v>996</v>
      </c>
      <c r="L38" s="17" t="s">
        <v>997</v>
      </c>
    </row>
    <row r="39" spans="1:12" ht="43.5" customHeight="1">
      <c r="A39" s="16" t="s">
        <v>521</v>
      </c>
      <c r="B39" s="16" t="s">
        <v>522</v>
      </c>
      <c r="C39" s="17" t="s">
        <v>523</v>
      </c>
      <c r="D39" s="18" t="s">
        <v>76</v>
      </c>
      <c r="E39" s="16" t="s">
        <v>528</v>
      </c>
      <c r="F39" s="16">
        <v>7</v>
      </c>
      <c r="G39" s="16" t="s">
        <v>529</v>
      </c>
      <c r="H39" s="16" t="s">
        <v>937</v>
      </c>
      <c r="I39" s="18" t="s">
        <v>81</v>
      </c>
      <c r="J39" s="16" t="s">
        <v>530</v>
      </c>
      <c r="K39" s="16" t="s">
        <v>998</v>
      </c>
      <c r="L39" s="17" t="s">
        <v>999</v>
      </c>
    </row>
    <row r="40" spans="1:12" ht="85.5" customHeight="1">
      <c r="A40" s="16" t="s">
        <v>532</v>
      </c>
      <c r="B40" s="16" t="s">
        <v>533</v>
      </c>
      <c r="C40" s="17" t="s">
        <v>534</v>
      </c>
      <c r="D40" s="18" t="s">
        <v>76</v>
      </c>
      <c r="E40" s="16" t="s">
        <v>538</v>
      </c>
      <c r="F40" s="16">
        <v>3</v>
      </c>
      <c r="G40" s="16" t="s">
        <v>539</v>
      </c>
      <c r="H40" s="16" t="s">
        <v>937</v>
      </c>
      <c r="I40" s="20" t="s">
        <v>102</v>
      </c>
      <c r="J40" s="16" t="s">
        <v>540</v>
      </c>
      <c r="K40" s="16" t="s">
        <v>1000</v>
      </c>
      <c r="L40" s="17" t="s">
        <v>1001</v>
      </c>
    </row>
    <row r="41" spans="1:12" ht="28.5" customHeight="1">
      <c r="A41" s="16" t="s">
        <v>542</v>
      </c>
      <c r="B41" s="16" t="s">
        <v>543</v>
      </c>
      <c r="C41" s="17" t="s">
        <v>544</v>
      </c>
      <c r="D41" s="18" t="s">
        <v>76</v>
      </c>
      <c r="E41" s="16" t="s">
        <v>551</v>
      </c>
      <c r="F41" s="16">
        <v>2</v>
      </c>
      <c r="G41" s="16" t="s">
        <v>552</v>
      </c>
      <c r="H41" s="16" t="s">
        <v>937</v>
      </c>
      <c r="I41" s="18" t="s">
        <v>81</v>
      </c>
      <c r="J41" s="16" t="s">
        <v>553</v>
      </c>
      <c r="K41" s="16" t="s">
        <v>964</v>
      </c>
      <c r="L41" s="16"/>
    </row>
    <row r="42" spans="1:12" ht="28.5" customHeight="1">
      <c r="A42" s="16" t="s">
        <v>555</v>
      </c>
      <c r="B42" s="16" t="s">
        <v>38</v>
      </c>
      <c r="C42" s="17" t="s">
        <v>556</v>
      </c>
      <c r="D42" s="18" t="s">
        <v>76</v>
      </c>
      <c r="E42" s="16" t="s">
        <v>561</v>
      </c>
      <c r="F42" s="16">
        <v>5</v>
      </c>
      <c r="G42" s="16" t="s">
        <v>136</v>
      </c>
      <c r="H42" s="16" t="s">
        <v>940</v>
      </c>
      <c r="I42" s="20" t="s">
        <v>102</v>
      </c>
      <c r="J42" s="16" t="s">
        <v>562</v>
      </c>
      <c r="K42" s="17" t="s">
        <v>1002</v>
      </c>
      <c r="L42" s="16" t="s">
        <v>1003</v>
      </c>
    </row>
    <row r="43" spans="1:12" ht="71.25" customHeight="1">
      <c r="A43" s="16" t="s">
        <v>564</v>
      </c>
      <c r="B43" s="16" t="s">
        <v>565</v>
      </c>
      <c r="C43" s="17" t="s">
        <v>566</v>
      </c>
      <c r="D43" s="18" t="s">
        <v>76</v>
      </c>
      <c r="E43" s="16" t="s">
        <v>571</v>
      </c>
      <c r="F43" s="16">
        <v>13</v>
      </c>
      <c r="G43" s="16" t="s">
        <v>279</v>
      </c>
      <c r="H43" s="16" t="s">
        <v>937</v>
      </c>
      <c r="I43" s="18" t="s">
        <v>81</v>
      </c>
      <c r="J43" s="16" t="s">
        <v>572</v>
      </c>
      <c r="K43" s="16" t="s">
        <v>1004</v>
      </c>
      <c r="L43" s="17" t="s">
        <v>1005</v>
      </c>
    </row>
    <row r="44" spans="1:12" ht="16.5" customHeight="1">
      <c r="A44" s="16" t="s">
        <v>574</v>
      </c>
      <c r="B44" s="16" t="s">
        <v>575</v>
      </c>
      <c r="C44" s="17" t="s">
        <v>576</v>
      </c>
      <c r="D44" s="18" t="s">
        <v>76</v>
      </c>
      <c r="E44" s="16" t="s">
        <v>577</v>
      </c>
      <c r="F44" s="16">
        <v>48</v>
      </c>
      <c r="G44" s="16" t="s">
        <v>578</v>
      </c>
      <c r="H44" s="16" t="s">
        <v>1006</v>
      </c>
      <c r="I44" s="20" t="s">
        <v>102</v>
      </c>
      <c r="J44" s="16" t="s">
        <v>579</v>
      </c>
      <c r="K44" s="16" t="s">
        <v>1007</v>
      </c>
      <c r="L44" s="17" t="s">
        <v>1008</v>
      </c>
    </row>
    <row r="45" spans="1:12" ht="28.5" customHeight="1">
      <c r="A45" s="16" t="s">
        <v>580</v>
      </c>
      <c r="B45" s="16" t="s">
        <v>581</v>
      </c>
      <c r="C45" s="17" t="s">
        <v>582</v>
      </c>
      <c r="D45" s="18" t="s">
        <v>76</v>
      </c>
      <c r="E45" s="16" t="s">
        <v>583</v>
      </c>
      <c r="F45" s="16">
        <v>2</v>
      </c>
      <c r="G45" s="16" t="s">
        <v>279</v>
      </c>
      <c r="H45" s="16" t="s">
        <v>937</v>
      </c>
      <c r="I45" s="18" t="s">
        <v>81</v>
      </c>
      <c r="J45" s="16" t="s">
        <v>584</v>
      </c>
      <c r="K45" s="16" t="s">
        <v>1009</v>
      </c>
      <c r="L45" s="17" t="s">
        <v>1010</v>
      </c>
    </row>
    <row r="46" spans="1:12" ht="42.75" customHeight="1">
      <c r="A46" s="16" t="s">
        <v>585</v>
      </c>
      <c r="B46" s="16" t="s">
        <v>586</v>
      </c>
      <c r="C46" s="17" t="s">
        <v>587</v>
      </c>
      <c r="D46" s="18" t="s">
        <v>76</v>
      </c>
      <c r="E46" s="16" t="s">
        <v>594</v>
      </c>
      <c r="F46" s="16">
        <v>784</v>
      </c>
      <c r="G46" s="16" t="s">
        <v>539</v>
      </c>
      <c r="H46" s="16" t="s">
        <v>937</v>
      </c>
      <c r="I46" s="18" t="s">
        <v>81</v>
      </c>
      <c r="J46" s="16" t="s">
        <v>595</v>
      </c>
      <c r="K46" s="16" t="s">
        <v>1011</v>
      </c>
      <c r="L46" s="16"/>
    </row>
    <row r="47" spans="1:12" ht="28.5" customHeight="1">
      <c r="A47" s="16" t="s">
        <v>597</v>
      </c>
      <c r="B47" s="16" t="s">
        <v>598</v>
      </c>
      <c r="C47" s="17" t="s">
        <v>599</v>
      </c>
      <c r="D47" s="18" t="s">
        <v>76</v>
      </c>
      <c r="E47" s="16" t="s">
        <v>602</v>
      </c>
      <c r="F47" s="16">
        <v>9</v>
      </c>
      <c r="G47" s="16" t="s">
        <v>326</v>
      </c>
      <c r="H47" s="16" t="s">
        <v>937</v>
      </c>
      <c r="I47" s="20" t="s">
        <v>102</v>
      </c>
      <c r="J47" s="16" t="s">
        <v>603</v>
      </c>
      <c r="K47" s="16" t="s">
        <v>1012</v>
      </c>
      <c r="L47" s="16"/>
    </row>
    <row r="48" spans="1:12" ht="28.5" customHeight="1">
      <c r="A48" s="16" t="s">
        <v>605</v>
      </c>
      <c r="B48" s="16" t="s">
        <v>606</v>
      </c>
      <c r="C48" s="17" t="s">
        <v>607</v>
      </c>
      <c r="D48" s="18" t="s">
        <v>76</v>
      </c>
      <c r="E48" s="16" t="s">
        <v>173</v>
      </c>
      <c r="F48" s="16">
        <v>24</v>
      </c>
      <c r="G48" s="16" t="s">
        <v>326</v>
      </c>
      <c r="H48" s="16" t="s">
        <v>937</v>
      </c>
      <c r="I48" s="18" t="s">
        <v>81</v>
      </c>
      <c r="J48" s="16" t="s">
        <v>614</v>
      </c>
      <c r="K48" s="16" t="s">
        <v>1013</v>
      </c>
      <c r="L48" s="16" t="s">
        <v>1014</v>
      </c>
    </row>
    <row r="49" spans="1:12" ht="28.5" customHeight="1">
      <c r="A49" s="16" t="s">
        <v>616</v>
      </c>
      <c r="B49" s="16" t="s">
        <v>617</v>
      </c>
      <c r="C49" s="17" t="s">
        <v>618</v>
      </c>
      <c r="D49" s="18" t="s">
        <v>76</v>
      </c>
      <c r="E49" s="16" t="s">
        <v>622</v>
      </c>
      <c r="F49" s="16">
        <v>13</v>
      </c>
      <c r="G49" s="16" t="s">
        <v>279</v>
      </c>
      <c r="H49" s="16" t="s">
        <v>937</v>
      </c>
      <c r="I49" s="18" t="s">
        <v>81</v>
      </c>
      <c r="J49" s="16" t="s">
        <v>623</v>
      </c>
      <c r="K49" s="16" t="s">
        <v>1015</v>
      </c>
      <c r="L49" s="17" t="s">
        <v>1016</v>
      </c>
    </row>
    <row r="50" spans="1:12" ht="28.5" customHeight="1">
      <c r="A50" s="16" t="s">
        <v>625</v>
      </c>
      <c r="B50" s="16" t="s">
        <v>626</v>
      </c>
      <c r="C50" s="17" t="s">
        <v>627</v>
      </c>
      <c r="D50" s="27" t="s">
        <v>978</v>
      </c>
      <c r="E50" s="16"/>
      <c r="F50" s="16"/>
      <c r="G50" s="16"/>
      <c r="H50" s="16"/>
      <c r="I50" s="16"/>
      <c r="J50" s="16"/>
      <c r="K50" s="16"/>
      <c r="L50" s="16" t="s">
        <v>979</v>
      </c>
    </row>
    <row r="51" spans="1:12" ht="42.75" customHeight="1">
      <c r="A51" s="16" t="s">
        <v>628</v>
      </c>
      <c r="B51" s="16" t="s">
        <v>629</v>
      </c>
      <c r="C51" s="17" t="s">
        <v>630</v>
      </c>
      <c r="D51" s="18" t="s">
        <v>76</v>
      </c>
      <c r="E51" s="16" t="s">
        <v>636</v>
      </c>
      <c r="F51" s="16">
        <v>2938</v>
      </c>
      <c r="G51" s="16" t="s">
        <v>101</v>
      </c>
      <c r="H51" s="16" t="s">
        <v>937</v>
      </c>
      <c r="I51" s="18" t="s">
        <v>81</v>
      </c>
      <c r="J51" s="16" t="s">
        <v>634</v>
      </c>
      <c r="K51" s="16" t="s">
        <v>1017</v>
      </c>
      <c r="L51" s="16" t="s">
        <v>1018</v>
      </c>
    </row>
    <row r="52" spans="1:12" ht="42.75" customHeight="1">
      <c r="A52" s="16" t="s">
        <v>638</v>
      </c>
      <c r="B52" s="16" t="s">
        <v>639</v>
      </c>
      <c r="C52" s="17" t="s">
        <v>640</v>
      </c>
      <c r="D52" s="18" t="s">
        <v>76</v>
      </c>
      <c r="E52" s="16" t="s">
        <v>645</v>
      </c>
      <c r="F52" s="16">
        <v>1402</v>
      </c>
      <c r="G52" s="16" t="s">
        <v>492</v>
      </c>
      <c r="H52" s="16" t="s">
        <v>937</v>
      </c>
      <c r="I52" s="18" t="s">
        <v>81</v>
      </c>
      <c r="J52" s="16" t="s">
        <v>646</v>
      </c>
      <c r="K52" s="16" t="s">
        <v>1019</v>
      </c>
      <c r="L52" s="16" t="s">
        <v>1020</v>
      </c>
    </row>
    <row r="53" spans="1:12" ht="28.5" customHeight="1">
      <c r="A53" s="16" t="s">
        <v>648</v>
      </c>
      <c r="B53" s="16" t="s">
        <v>649</v>
      </c>
      <c r="C53" s="17" t="s">
        <v>650</v>
      </c>
      <c r="D53" s="18" t="s">
        <v>76</v>
      </c>
      <c r="E53" s="16" t="s">
        <v>655</v>
      </c>
      <c r="F53" s="16">
        <v>65</v>
      </c>
      <c r="G53" s="16" t="s">
        <v>230</v>
      </c>
      <c r="H53" s="16" t="s">
        <v>937</v>
      </c>
      <c r="I53" s="18" t="s">
        <v>81</v>
      </c>
      <c r="J53" s="16" t="s">
        <v>654</v>
      </c>
      <c r="K53" s="16" t="s">
        <v>1021</v>
      </c>
      <c r="L53" s="17" t="s">
        <v>1022</v>
      </c>
    </row>
    <row r="54" spans="1:12" ht="42.75" customHeight="1">
      <c r="A54" s="16" t="s">
        <v>657</v>
      </c>
      <c r="B54" s="16" t="s">
        <v>658</v>
      </c>
      <c r="C54" s="17" t="s">
        <v>659</v>
      </c>
      <c r="D54" s="18" t="s">
        <v>76</v>
      </c>
      <c r="E54" s="16" t="s">
        <v>664</v>
      </c>
      <c r="F54" s="16">
        <v>59</v>
      </c>
      <c r="G54" s="16" t="s">
        <v>123</v>
      </c>
      <c r="H54" s="16" t="s">
        <v>937</v>
      </c>
      <c r="I54" s="18" t="s">
        <v>81</v>
      </c>
      <c r="J54" s="16" t="s">
        <v>663</v>
      </c>
      <c r="K54" s="16" t="s">
        <v>1023</v>
      </c>
      <c r="L54" s="16" t="s">
        <v>1024</v>
      </c>
    </row>
    <row r="55" spans="1:12" ht="57" customHeight="1">
      <c r="A55" s="16" t="s">
        <v>666</v>
      </c>
      <c r="B55" s="16" t="s">
        <v>667</v>
      </c>
      <c r="C55" s="17" t="s">
        <v>668</v>
      </c>
      <c r="D55" s="18" t="s">
        <v>76</v>
      </c>
      <c r="E55" s="16" t="s">
        <v>674</v>
      </c>
      <c r="F55" s="16">
        <v>48</v>
      </c>
      <c r="G55" s="16" t="s">
        <v>110</v>
      </c>
      <c r="H55" s="16" t="s">
        <v>937</v>
      </c>
      <c r="I55" s="18" t="s">
        <v>81</v>
      </c>
      <c r="J55" s="16" t="s">
        <v>672</v>
      </c>
      <c r="K55" s="16" t="s">
        <v>1025</v>
      </c>
      <c r="L55" s="16"/>
    </row>
    <row r="56" spans="1:12" ht="57" customHeight="1">
      <c r="A56" s="16" t="s">
        <v>676</v>
      </c>
      <c r="B56" s="16" t="s">
        <v>677</v>
      </c>
      <c r="C56" s="17" t="s">
        <v>678</v>
      </c>
      <c r="D56" s="18" t="s">
        <v>76</v>
      </c>
      <c r="E56" s="16" t="s">
        <v>674</v>
      </c>
      <c r="F56" s="16">
        <v>128</v>
      </c>
      <c r="G56" s="16" t="s">
        <v>110</v>
      </c>
      <c r="H56" s="16" t="s">
        <v>937</v>
      </c>
      <c r="I56" s="18" t="s">
        <v>81</v>
      </c>
      <c r="J56" s="16" t="s">
        <v>672</v>
      </c>
      <c r="K56" s="16" t="s">
        <v>1025</v>
      </c>
      <c r="L56" s="16" t="s">
        <v>1026</v>
      </c>
    </row>
    <row r="57" spans="1:12" ht="42.75" customHeight="1">
      <c r="A57" s="16" t="s">
        <v>679</v>
      </c>
      <c r="B57" s="16" t="s">
        <v>680</v>
      </c>
      <c r="C57" s="17" t="s">
        <v>681</v>
      </c>
      <c r="D57" s="18" t="s">
        <v>76</v>
      </c>
      <c r="E57" s="16" t="s">
        <v>491</v>
      </c>
      <c r="F57" s="16">
        <v>385</v>
      </c>
      <c r="G57" s="16" t="s">
        <v>204</v>
      </c>
      <c r="H57" s="16" t="s">
        <v>937</v>
      </c>
      <c r="I57" s="18" t="s">
        <v>81</v>
      </c>
      <c r="J57" s="16" t="s">
        <v>686</v>
      </c>
      <c r="K57" s="16" t="s">
        <v>1027</v>
      </c>
      <c r="L57" s="16" t="s">
        <v>1028</v>
      </c>
    </row>
    <row r="58" spans="1:12" ht="42.75" customHeight="1">
      <c r="A58" s="16" t="s">
        <v>688</v>
      </c>
      <c r="B58" s="16" t="s">
        <v>689</v>
      </c>
      <c r="C58" s="17" t="s">
        <v>690</v>
      </c>
      <c r="D58" s="18" t="s">
        <v>76</v>
      </c>
      <c r="E58" s="16" t="s">
        <v>695</v>
      </c>
      <c r="F58" s="16">
        <v>21</v>
      </c>
      <c r="G58" s="16" t="s">
        <v>696</v>
      </c>
      <c r="H58" s="16" t="s">
        <v>940</v>
      </c>
      <c r="I58" s="20" t="s">
        <v>102</v>
      </c>
      <c r="J58" s="16" t="s">
        <v>697</v>
      </c>
      <c r="K58" s="16" t="s">
        <v>1029</v>
      </c>
      <c r="L58" s="17" t="s">
        <v>1030</v>
      </c>
    </row>
    <row r="59" spans="1:12" ht="28.5" customHeight="1">
      <c r="A59" s="16" t="s">
        <v>699</v>
      </c>
      <c r="B59" s="16" t="s">
        <v>700</v>
      </c>
      <c r="C59" s="17" t="s">
        <v>701</v>
      </c>
      <c r="D59" s="18" t="s">
        <v>76</v>
      </c>
      <c r="E59" s="16" t="s">
        <v>706</v>
      </c>
      <c r="F59" s="16">
        <v>3427</v>
      </c>
      <c r="G59" s="16" t="s">
        <v>707</v>
      </c>
      <c r="H59" s="16" t="s">
        <v>937</v>
      </c>
      <c r="I59" s="18" t="s">
        <v>81</v>
      </c>
      <c r="J59" s="16" t="s">
        <v>708</v>
      </c>
      <c r="K59" s="16" t="s">
        <v>1031</v>
      </c>
      <c r="L59" s="17" t="s">
        <v>1032</v>
      </c>
    </row>
    <row r="60" spans="1:12" ht="28.5" customHeight="1">
      <c r="A60" s="16" t="s">
        <v>710</v>
      </c>
      <c r="B60" s="16" t="s">
        <v>711</v>
      </c>
      <c r="C60" s="17" t="s">
        <v>712</v>
      </c>
      <c r="D60" s="18" t="s">
        <v>76</v>
      </c>
      <c r="E60" s="16" t="s">
        <v>718</v>
      </c>
      <c r="F60" s="16">
        <v>26</v>
      </c>
      <c r="G60" s="16" t="s">
        <v>230</v>
      </c>
      <c r="H60" s="16" t="s">
        <v>937</v>
      </c>
      <c r="I60" s="18" t="s">
        <v>81</v>
      </c>
      <c r="J60" s="16" t="s">
        <v>719</v>
      </c>
      <c r="K60" s="16" t="s">
        <v>1033</v>
      </c>
      <c r="L60" s="16"/>
    </row>
    <row r="61" spans="1:12" ht="42.75" customHeight="1">
      <c r="A61" s="16" t="s">
        <v>721</v>
      </c>
      <c r="B61" s="16" t="s">
        <v>722</v>
      </c>
      <c r="C61" s="17" t="s">
        <v>723</v>
      </c>
      <c r="D61" s="18" t="s">
        <v>76</v>
      </c>
      <c r="E61" s="16" t="s">
        <v>728</v>
      </c>
      <c r="F61" s="16">
        <v>268</v>
      </c>
      <c r="G61" s="16" t="s">
        <v>326</v>
      </c>
      <c r="H61" s="16" t="s">
        <v>937</v>
      </c>
      <c r="I61" s="18" t="s">
        <v>81</v>
      </c>
      <c r="J61" s="16" t="s">
        <v>729</v>
      </c>
      <c r="K61" s="16" t="s">
        <v>1034</v>
      </c>
      <c r="L61" s="16"/>
    </row>
    <row r="62" spans="1:12" ht="42.75" customHeight="1">
      <c r="A62" s="16" t="s">
        <v>731</v>
      </c>
      <c r="B62" s="16" t="s">
        <v>39</v>
      </c>
      <c r="C62" s="17" t="s">
        <v>732</v>
      </c>
      <c r="D62" s="18" t="s">
        <v>76</v>
      </c>
      <c r="E62" s="16" t="s">
        <v>1035</v>
      </c>
      <c r="F62" s="16">
        <v>407</v>
      </c>
      <c r="G62" s="16" t="s">
        <v>738</v>
      </c>
      <c r="H62" s="16" t="s">
        <v>937</v>
      </c>
      <c r="I62" s="18" t="s">
        <v>81</v>
      </c>
      <c r="J62" s="16" t="s">
        <v>739</v>
      </c>
      <c r="K62" s="16" t="s">
        <v>1036</v>
      </c>
      <c r="L62" s="16" t="s">
        <v>1037</v>
      </c>
    </row>
    <row r="63" spans="1:12" ht="42.75" customHeight="1">
      <c r="A63" s="16" t="s">
        <v>741</v>
      </c>
      <c r="B63" s="16" t="s">
        <v>742</v>
      </c>
      <c r="C63" s="17" t="s">
        <v>743</v>
      </c>
      <c r="D63" s="18" t="s">
        <v>76</v>
      </c>
      <c r="E63" s="16" t="s">
        <v>748</v>
      </c>
      <c r="F63" s="16">
        <v>958</v>
      </c>
      <c r="G63" s="16" t="s">
        <v>749</v>
      </c>
      <c r="H63" s="16" t="s">
        <v>1038</v>
      </c>
      <c r="I63" s="20" t="s">
        <v>102</v>
      </c>
      <c r="J63" s="16" t="s">
        <v>747</v>
      </c>
      <c r="K63" s="16" t="s">
        <v>1039</v>
      </c>
      <c r="L63" s="17" t="s">
        <v>1040</v>
      </c>
    </row>
    <row r="64" spans="1:12" ht="42.75" customHeight="1">
      <c r="A64" s="16" t="s">
        <v>751</v>
      </c>
      <c r="B64" s="16" t="s">
        <v>752</v>
      </c>
      <c r="C64" s="17" t="s">
        <v>753</v>
      </c>
      <c r="D64" s="18" t="s">
        <v>76</v>
      </c>
      <c r="E64" s="16" t="s">
        <v>759</v>
      </c>
      <c r="F64" s="16">
        <v>6</v>
      </c>
      <c r="G64" s="16" t="s">
        <v>123</v>
      </c>
      <c r="H64" s="16" t="s">
        <v>937</v>
      </c>
      <c r="I64" s="18" t="s">
        <v>81</v>
      </c>
      <c r="J64" s="16" t="s">
        <v>760</v>
      </c>
      <c r="K64" s="16" t="s">
        <v>1041</v>
      </c>
      <c r="L64" s="17" t="s">
        <v>1042</v>
      </c>
    </row>
    <row r="65" spans="1:12" ht="28.5" customHeight="1">
      <c r="A65" s="16" t="s">
        <v>762</v>
      </c>
      <c r="B65" s="16" t="s">
        <v>763</v>
      </c>
      <c r="C65" s="17" t="s">
        <v>764</v>
      </c>
      <c r="D65" s="18" t="s">
        <v>76</v>
      </c>
      <c r="E65" s="16" t="s">
        <v>664</v>
      </c>
      <c r="F65" s="16">
        <v>16</v>
      </c>
      <c r="G65" s="16" t="s">
        <v>768</v>
      </c>
      <c r="H65" s="16" t="s">
        <v>937</v>
      </c>
      <c r="I65" s="20" t="s">
        <v>102</v>
      </c>
      <c r="J65" s="16" t="s">
        <v>769</v>
      </c>
      <c r="K65" s="16" t="s">
        <v>1043</v>
      </c>
      <c r="L65" s="16" t="s">
        <v>1044</v>
      </c>
    </row>
    <row r="66" spans="1:12" ht="57" customHeight="1">
      <c r="A66" s="16" t="s">
        <v>771</v>
      </c>
      <c r="B66" s="16" t="s">
        <v>772</v>
      </c>
      <c r="C66" s="17" t="s">
        <v>773</v>
      </c>
      <c r="D66" s="18" t="s">
        <v>76</v>
      </c>
      <c r="E66" s="16" t="s">
        <v>674</v>
      </c>
      <c r="F66" s="16">
        <v>53</v>
      </c>
      <c r="G66" s="16" t="s">
        <v>110</v>
      </c>
      <c r="H66" s="16" t="s">
        <v>937</v>
      </c>
      <c r="I66" s="18" t="s">
        <v>81</v>
      </c>
      <c r="J66" s="16" t="s">
        <v>672</v>
      </c>
      <c r="K66" s="16" t="s">
        <v>1025</v>
      </c>
      <c r="L66" s="17" t="s">
        <v>1045</v>
      </c>
    </row>
    <row r="67" spans="1:12" ht="57" customHeight="1">
      <c r="A67" s="16" t="s">
        <v>774</v>
      </c>
      <c r="B67" s="16" t="s">
        <v>775</v>
      </c>
      <c r="C67" s="17" t="s">
        <v>776</v>
      </c>
      <c r="D67" s="18" t="s">
        <v>76</v>
      </c>
      <c r="E67" s="16" t="s">
        <v>674</v>
      </c>
      <c r="F67" s="16">
        <v>73</v>
      </c>
      <c r="G67" s="16" t="s">
        <v>110</v>
      </c>
      <c r="H67" s="16" t="s">
        <v>937</v>
      </c>
      <c r="I67" s="18" t="s">
        <v>81</v>
      </c>
      <c r="J67" s="16" t="s">
        <v>672</v>
      </c>
      <c r="K67" s="16" t="s">
        <v>1025</v>
      </c>
      <c r="L67" s="16"/>
    </row>
    <row r="68" spans="1:12" ht="57" customHeight="1">
      <c r="A68" s="16" t="s">
        <v>777</v>
      </c>
      <c r="B68" s="16" t="s">
        <v>778</v>
      </c>
      <c r="C68" s="17" t="s">
        <v>779</v>
      </c>
      <c r="D68" s="18" t="s">
        <v>76</v>
      </c>
      <c r="E68" s="16" t="s">
        <v>674</v>
      </c>
      <c r="F68" s="16">
        <v>116</v>
      </c>
      <c r="G68" s="16" t="s">
        <v>110</v>
      </c>
      <c r="H68" s="16" t="s">
        <v>937</v>
      </c>
      <c r="I68" s="18" t="s">
        <v>81</v>
      </c>
      <c r="J68" s="16" t="s">
        <v>672</v>
      </c>
      <c r="K68" s="16" t="s">
        <v>1025</v>
      </c>
      <c r="L68" s="16"/>
    </row>
    <row r="69" spans="1:12" ht="42.75" customHeight="1">
      <c r="A69" s="16" t="s">
        <v>780</v>
      </c>
      <c r="B69" s="16" t="s">
        <v>781</v>
      </c>
      <c r="C69" s="17" t="s">
        <v>782</v>
      </c>
      <c r="D69" s="18" t="s">
        <v>76</v>
      </c>
      <c r="E69" s="16" t="s">
        <v>491</v>
      </c>
      <c r="F69" s="16">
        <v>116</v>
      </c>
      <c r="G69" s="16" t="s">
        <v>101</v>
      </c>
      <c r="H69" s="16" t="s">
        <v>937</v>
      </c>
      <c r="I69" s="20" t="s">
        <v>102</v>
      </c>
      <c r="J69" s="16" t="s">
        <v>785</v>
      </c>
      <c r="K69" s="16" t="s">
        <v>1046</v>
      </c>
      <c r="L69" s="16"/>
    </row>
    <row r="70" spans="1:12" ht="42.75" customHeight="1">
      <c r="A70" s="16" t="s">
        <v>787</v>
      </c>
      <c r="B70" s="16" t="s">
        <v>788</v>
      </c>
      <c r="C70" s="17" t="s">
        <v>789</v>
      </c>
      <c r="D70" s="18" t="s">
        <v>76</v>
      </c>
      <c r="E70" s="16" t="s">
        <v>664</v>
      </c>
      <c r="F70" s="16">
        <v>18</v>
      </c>
      <c r="G70" s="16" t="s">
        <v>539</v>
      </c>
      <c r="H70" s="16" t="s">
        <v>937</v>
      </c>
      <c r="I70" s="18" t="s">
        <v>81</v>
      </c>
      <c r="J70" s="16" t="s">
        <v>685</v>
      </c>
      <c r="K70" s="16" t="s">
        <v>1047</v>
      </c>
      <c r="L70" s="16"/>
    </row>
    <row r="71" spans="1:12" ht="42.75" customHeight="1">
      <c r="A71" s="16" t="s">
        <v>790</v>
      </c>
      <c r="B71" s="16" t="s">
        <v>791</v>
      </c>
      <c r="C71" s="17" t="s">
        <v>792</v>
      </c>
      <c r="D71" s="18" t="s">
        <v>76</v>
      </c>
      <c r="E71" s="16" t="s">
        <v>799</v>
      </c>
      <c r="F71" s="16">
        <v>5346</v>
      </c>
      <c r="G71" s="16" t="s">
        <v>800</v>
      </c>
      <c r="H71" s="16" t="s">
        <v>1048</v>
      </c>
      <c r="I71" s="18" t="s">
        <v>81</v>
      </c>
      <c r="J71" s="16" t="s">
        <v>1049</v>
      </c>
      <c r="K71" s="16" t="s">
        <v>1050</v>
      </c>
      <c r="L71" s="17" t="s">
        <v>1051</v>
      </c>
    </row>
    <row r="72" spans="1:12" ht="85.5" customHeight="1">
      <c r="A72" s="16" t="s">
        <v>803</v>
      </c>
      <c r="B72" s="16" t="s">
        <v>804</v>
      </c>
      <c r="C72" s="17" t="s">
        <v>805</v>
      </c>
      <c r="D72" s="18" t="s">
        <v>76</v>
      </c>
      <c r="E72" s="16" t="s">
        <v>812</v>
      </c>
      <c r="F72" s="16">
        <v>10</v>
      </c>
      <c r="G72" s="16" t="s">
        <v>279</v>
      </c>
      <c r="H72" s="16" t="s">
        <v>937</v>
      </c>
      <c r="I72" s="18" t="s">
        <v>81</v>
      </c>
      <c r="J72" s="16" t="s">
        <v>813</v>
      </c>
      <c r="K72" s="16" t="s">
        <v>1052</v>
      </c>
      <c r="L72" s="17" t="s">
        <v>1053</v>
      </c>
    </row>
    <row r="73" spans="1:12" ht="28.5" customHeight="1">
      <c r="A73" s="16" t="s">
        <v>815</v>
      </c>
      <c r="B73" s="16" t="s">
        <v>816</v>
      </c>
      <c r="C73" s="17" t="s">
        <v>817</v>
      </c>
      <c r="D73" s="18" t="s">
        <v>76</v>
      </c>
      <c r="E73" s="16" t="s">
        <v>823</v>
      </c>
      <c r="F73" s="16">
        <v>3500</v>
      </c>
      <c r="G73" s="16" t="s">
        <v>539</v>
      </c>
      <c r="H73" s="16" t="s">
        <v>1054</v>
      </c>
      <c r="I73" s="18" t="s">
        <v>81</v>
      </c>
      <c r="J73" s="16" t="s">
        <v>824</v>
      </c>
      <c r="K73" s="16" t="s">
        <v>1055</v>
      </c>
      <c r="L73" s="16" t="s">
        <v>1056</v>
      </c>
    </row>
    <row r="74" spans="1:12" ht="71.25" customHeight="1">
      <c r="A74" s="16" t="s">
        <v>826</v>
      </c>
      <c r="B74" s="16" t="s">
        <v>827</v>
      </c>
      <c r="C74" s="17" t="s">
        <v>828</v>
      </c>
      <c r="D74" s="18" t="s">
        <v>76</v>
      </c>
      <c r="E74" s="16" t="s">
        <v>833</v>
      </c>
      <c r="F74" s="16">
        <v>339</v>
      </c>
      <c r="G74" s="16" t="s">
        <v>707</v>
      </c>
      <c r="H74" s="16" t="s">
        <v>937</v>
      </c>
      <c r="I74" s="18" t="s">
        <v>81</v>
      </c>
      <c r="J74" s="16" t="s">
        <v>834</v>
      </c>
      <c r="K74" s="16" t="s">
        <v>1057</v>
      </c>
      <c r="L74" s="17" t="s">
        <v>1058</v>
      </c>
    </row>
    <row r="75" spans="1:12" ht="28.5" customHeight="1">
      <c r="A75" s="16" t="s">
        <v>836</v>
      </c>
      <c r="B75" s="16" t="s">
        <v>837</v>
      </c>
      <c r="C75" s="17" t="s">
        <v>838</v>
      </c>
      <c r="D75" s="18" t="s">
        <v>76</v>
      </c>
      <c r="E75" s="16" t="s">
        <v>841</v>
      </c>
      <c r="F75" s="16">
        <v>139</v>
      </c>
      <c r="G75" s="16" t="s">
        <v>204</v>
      </c>
      <c r="H75" s="16" t="s">
        <v>937</v>
      </c>
      <c r="I75" s="18" t="s">
        <v>81</v>
      </c>
      <c r="J75" s="16" t="s">
        <v>842</v>
      </c>
      <c r="K75" s="16" t="s">
        <v>1059</v>
      </c>
      <c r="L75" s="16"/>
    </row>
    <row r="76" spans="1:12" ht="42.75" customHeight="1">
      <c r="A76" s="16" t="s">
        <v>844</v>
      </c>
      <c r="B76" s="16" t="s">
        <v>845</v>
      </c>
      <c r="C76" s="17" t="s">
        <v>846</v>
      </c>
      <c r="D76" s="18" t="s">
        <v>76</v>
      </c>
      <c r="E76" s="16" t="s">
        <v>849</v>
      </c>
      <c r="F76" s="16">
        <v>381</v>
      </c>
      <c r="G76" s="16" t="s">
        <v>253</v>
      </c>
      <c r="H76" s="16" t="s">
        <v>937</v>
      </c>
      <c r="I76" s="18" t="s">
        <v>81</v>
      </c>
      <c r="J76" s="16" t="s">
        <v>850</v>
      </c>
      <c r="K76" s="16" t="s">
        <v>1060</v>
      </c>
      <c r="L76" s="17" t="s">
        <v>1061</v>
      </c>
    </row>
    <row r="77" spans="1:12" ht="42.75" customHeight="1">
      <c r="A77" s="16" t="s">
        <v>851</v>
      </c>
      <c r="B77" s="16" t="s">
        <v>852</v>
      </c>
      <c r="C77" s="17" t="s">
        <v>853</v>
      </c>
      <c r="D77" s="18" t="s">
        <v>76</v>
      </c>
      <c r="E77" s="16" t="s">
        <v>856</v>
      </c>
      <c r="F77" s="16">
        <v>31</v>
      </c>
      <c r="G77" s="16" t="s">
        <v>204</v>
      </c>
      <c r="H77" s="16" t="s">
        <v>937</v>
      </c>
      <c r="I77" s="18" t="s">
        <v>81</v>
      </c>
      <c r="J77" s="16" t="s">
        <v>857</v>
      </c>
      <c r="K77" s="16" t="s">
        <v>1062</v>
      </c>
      <c r="L77" s="16"/>
    </row>
    <row r="78" spans="1:12" ht="28.5" customHeight="1">
      <c r="A78" s="16" t="s">
        <v>858</v>
      </c>
      <c r="B78" s="16" t="s">
        <v>859</v>
      </c>
      <c r="C78" s="17" t="s">
        <v>860</v>
      </c>
      <c r="D78" s="18" t="s">
        <v>76</v>
      </c>
      <c r="E78" s="16" t="s">
        <v>863</v>
      </c>
      <c r="F78" s="16">
        <v>4</v>
      </c>
      <c r="G78" s="16" t="s">
        <v>204</v>
      </c>
      <c r="H78" s="16" t="s">
        <v>937</v>
      </c>
      <c r="I78" s="18" t="s">
        <v>81</v>
      </c>
      <c r="J78" s="16" t="s">
        <v>864</v>
      </c>
      <c r="K78" s="16" t="s">
        <v>1063</v>
      </c>
      <c r="L78" s="16"/>
    </row>
    <row r="79" spans="1:12" ht="28.5" customHeight="1">
      <c r="A79" s="16" t="s">
        <v>865</v>
      </c>
      <c r="B79" s="16" t="s">
        <v>866</v>
      </c>
      <c r="C79" s="17" t="s">
        <v>867</v>
      </c>
      <c r="D79" s="18" t="s">
        <v>76</v>
      </c>
      <c r="E79" s="16" t="s">
        <v>870</v>
      </c>
      <c r="F79" s="16">
        <v>176</v>
      </c>
      <c r="G79" s="16" t="s">
        <v>204</v>
      </c>
      <c r="H79" s="16" t="s">
        <v>945</v>
      </c>
      <c r="I79" s="18" t="s">
        <v>81</v>
      </c>
      <c r="J79" s="16" t="s">
        <v>871</v>
      </c>
      <c r="K79" s="16" t="s">
        <v>1064</v>
      </c>
      <c r="L79" s="16"/>
    </row>
    <row r="80" spans="1:12" ht="42.75" customHeight="1">
      <c r="A80" s="16" t="s">
        <v>873</v>
      </c>
      <c r="B80" s="16" t="s">
        <v>874</v>
      </c>
      <c r="C80" s="17" t="s">
        <v>875</v>
      </c>
      <c r="D80" s="18" t="s">
        <v>76</v>
      </c>
      <c r="E80" s="16" t="s">
        <v>878</v>
      </c>
      <c r="F80" s="16">
        <v>16</v>
      </c>
      <c r="G80" s="16" t="s">
        <v>253</v>
      </c>
      <c r="H80" s="16" t="s">
        <v>937</v>
      </c>
      <c r="I80" s="18" t="s">
        <v>81</v>
      </c>
      <c r="J80" s="16" t="s">
        <v>879</v>
      </c>
      <c r="K80" s="16" t="s">
        <v>1065</v>
      </c>
      <c r="L80" s="17" t="s">
        <v>1066</v>
      </c>
    </row>
    <row r="81" spans="1:12" ht="42.75" customHeight="1">
      <c r="A81" s="16" t="s">
        <v>881</v>
      </c>
      <c r="B81" s="16" t="s">
        <v>882</v>
      </c>
      <c r="C81" s="17" t="s">
        <v>883</v>
      </c>
      <c r="D81" s="18" t="s">
        <v>76</v>
      </c>
      <c r="E81" s="16" t="s">
        <v>886</v>
      </c>
      <c r="F81" s="16">
        <v>100</v>
      </c>
      <c r="G81" s="16" t="s">
        <v>326</v>
      </c>
      <c r="H81" s="16" t="s">
        <v>945</v>
      </c>
      <c r="I81" s="18" t="s">
        <v>81</v>
      </c>
      <c r="J81" s="16" t="s">
        <v>887</v>
      </c>
      <c r="K81" s="16" t="s">
        <v>1067</v>
      </c>
      <c r="L81" s="16" t="s">
        <v>1068</v>
      </c>
    </row>
    <row r="82" spans="1:12" ht="28.5" customHeight="1">
      <c r="A82" s="16" t="s">
        <v>889</v>
      </c>
      <c r="B82" s="16" t="s">
        <v>890</v>
      </c>
      <c r="C82" s="17" t="s">
        <v>891</v>
      </c>
      <c r="D82" s="18" t="s">
        <v>76</v>
      </c>
      <c r="E82" s="16" t="s">
        <v>894</v>
      </c>
      <c r="F82" s="16">
        <v>36</v>
      </c>
      <c r="G82" s="16" t="s">
        <v>506</v>
      </c>
      <c r="H82" s="16" t="s">
        <v>937</v>
      </c>
      <c r="I82" s="18" t="s">
        <v>81</v>
      </c>
      <c r="J82" s="16" t="s">
        <v>895</v>
      </c>
      <c r="K82" s="16" t="s">
        <v>1069</v>
      </c>
      <c r="L82" s="16"/>
    </row>
    <row r="83" spans="1:12" ht="28.5" customHeight="1">
      <c r="A83" s="16" t="s">
        <v>896</v>
      </c>
      <c r="B83" s="16" t="s">
        <v>897</v>
      </c>
      <c r="C83" s="17" t="s">
        <v>898</v>
      </c>
      <c r="D83" s="18" t="s">
        <v>76</v>
      </c>
      <c r="E83" s="16" t="s">
        <v>905</v>
      </c>
      <c r="F83" s="16">
        <v>1962</v>
      </c>
      <c r="G83" s="16" t="s">
        <v>132</v>
      </c>
      <c r="H83" s="16" t="s">
        <v>937</v>
      </c>
      <c r="I83" s="18" t="s">
        <v>81</v>
      </c>
      <c r="J83" s="16" t="s">
        <v>906</v>
      </c>
      <c r="K83" s="16" t="s">
        <v>1070</v>
      </c>
      <c r="L83" s="16" t="s">
        <v>950</v>
      </c>
    </row>
    <row r="84" spans="1:12" ht="42.75" customHeight="1">
      <c r="A84" s="16" t="s">
        <v>908</v>
      </c>
      <c r="B84" s="16" t="s">
        <v>909</v>
      </c>
      <c r="C84" s="17" t="s">
        <v>910</v>
      </c>
      <c r="D84" s="18" t="s">
        <v>76</v>
      </c>
      <c r="E84" s="16" t="s">
        <v>905</v>
      </c>
      <c r="F84" s="16">
        <v>153</v>
      </c>
      <c r="G84" s="16" t="s">
        <v>914</v>
      </c>
      <c r="H84" s="16" t="s">
        <v>937</v>
      </c>
      <c r="I84" s="18" t="s">
        <v>81</v>
      </c>
      <c r="J84" s="16" t="s">
        <v>915</v>
      </c>
      <c r="K84" s="16" t="s">
        <v>1071</v>
      </c>
      <c r="L84" s="16" t="s">
        <v>1072</v>
      </c>
    </row>
    <row r="85" spans="1:12" ht="28.5" customHeight="1">
      <c r="A85" s="16" t="s">
        <v>917</v>
      </c>
      <c r="B85" s="16" t="s">
        <v>918</v>
      </c>
      <c r="C85" s="17" t="s">
        <v>919</v>
      </c>
      <c r="D85" s="18" t="s">
        <v>76</v>
      </c>
      <c r="E85" s="16" t="s">
        <v>349</v>
      </c>
      <c r="F85" s="16">
        <v>841</v>
      </c>
      <c r="G85" s="16" t="s">
        <v>227</v>
      </c>
      <c r="H85" s="16" t="s">
        <v>945</v>
      </c>
      <c r="I85" s="18" t="s">
        <v>81</v>
      </c>
      <c r="J85" s="16" t="s">
        <v>925</v>
      </c>
      <c r="K85" s="16" t="s">
        <v>1073</v>
      </c>
      <c r="L85" s="16"/>
    </row>
  </sheetData>
  <autoFilter ref="A1:L85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3" width="14" customWidth="1"/>
    <col min="4" max="4" width="40" customWidth="1"/>
    <col min="5" max="11" width="14" customWidth="1"/>
    <col min="12" max="12" width="36" customWidth="1"/>
    <col min="13" max="15" width="14" customWidth="1"/>
  </cols>
  <sheetData>
    <row r="1" spans="1:15" ht="36" customHeight="1">
      <c r="A1" s="11" t="s">
        <v>40</v>
      </c>
      <c r="B1" s="11" t="s">
        <v>41</v>
      </c>
      <c r="C1" s="11" t="s">
        <v>42</v>
      </c>
      <c r="D1" s="11" t="s">
        <v>1074</v>
      </c>
      <c r="E1" s="11" t="s">
        <v>1075</v>
      </c>
      <c r="F1" s="11" t="s">
        <v>928</v>
      </c>
      <c r="G1" s="11" t="s">
        <v>49</v>
      </c>
      <c r="H1" s="11" t="s">
        <v>929</v>
      </c>
      <c r="I1" s="11" t="s">
        <v>50</v>
      </c>
      <c r="J1" s="11" t="s">
        <v>930</v>
      </c>
      <c r="K1" s="11" t="s">
        <v>1076</v>
      </c>
      <c r="L1" s="11" t="s">
        <v>51</v>
      </c>
      <c r="M1" s="11" t="s">
        <v>1077</v>
      </c>
      <c r="N1" s="11" t="s">
        <v>54</v>
      </c>
      <c r="O1" s="11" t="s">
        <v>1078</v>
      </c>
    </row>
    <row r="2" spans="1:15" ht="85.5" customHeight="1">
      <c r="A2" s="16" t="s">
        <v>73</v>
      </c>
      <c r="B2" s="16" t="s">
        <v>74</v>
      </c>
      <c r="C2" s="17" t="s">
        <v>75</v>
      </c>
      <c r="D2" s="16" t="s">
        <v>1079</v>
      </c>
      <c r="E2" s="16" t="s">
        <v>1080</v>
      </c>
      <c r="F2" s="16">
        <v>431</v>
      </c>
      <c r="G2" s="16" t="s">
        <v>92</v>
      </c>
      <c r="H2" s="16" t="s">
        <v>931</v>
      </c>
      <c r="I2" s="18" t="s">
        <v>81</v>
      </c>
      <c r="J2" s="16" t="s">
        <v>932</v>
      </c>
      <c r="K2" s="16" t="s">
        <v>1081</v>
      </c>
      <c r="L2" s="16" t="s">
        <v>82</v>
      </c>
      <c r="M2" s="16" t="s">
        <v>1082</v>
      </c>
      <c r="N2" s="17" t="s">
        <v>933</v>
      </c>
      <c r="O2" s="18" t="s">
        <v>1083</v>
      </c>
    </row>
    <row r="3" spans="1:15" ht="57" customHeight="1">
      <c r="A3" s="16" t="s">
        <v>95</v>
      </c>
      <c r="B3" s="16" t="s">
        <v>96</v>
      </c>
      <c r="C3" s="17" t="s">
        <v>97</v>
      </c>
      <c r="D3" s="16" t="s">
        <v>1084</v>
      </c>
      <c r="E3" s="17" t="s">
        <v>1085</v>
      </c>
      <c r="F3" s="16">
        <v>4863</v>
      </c>
      <c r="G3" s="16" t="s">
        <v>110</v>
      </c>
      <c r="H3" s="16" t="s">
        <v>934</v>
      </c>
      <c r="I3" s="18" t="s">
        <v>81</v>
      </c>
      <c r="J3" s="16" t="s">
        <v>935</v>
      </c>
      <c r="K3" s="16" t="s">
        <v>1086</v>
      </c>
      <c r="L3" s="16" t="s">
        <v>111</v>
      </c>
      <c r="M3" s="17" t="s">
        <v>1087</v>
      </c>
      <c r="N3" s="17" t="s">
        <v>936</v>
      </c>
      <c r="O3" s="18" t="s">
        <v>1083</v>
      </c>
    </row>
    <row r="4" spans="1:15" ht="57" customHeight="1">
      <c r="A4" s="16" t="s">
        <v>95</v>
      </c>
      <c r="B4" s="16" t="s">
        <v>96</v>
      </c>
      <c r="C4" s="17" t="s">
        <v>97</v>
      </c>
      <c r="D4" s="16" t="s">
        <v>1088</v>
      </c>
      <c r="E4" s="17" t="s">
        <v>1089</v>
      </c>
      <c r="F4" s="16">
        <v>31</v>
      </c>
      <c r="G4" s="16" t="s">
        <v>101</v>
      </c>
      <c r="H4" s="16" t="s">
        <v>937</v>
      </c>
      <c r="I4" s="20" t="s">
        <v>102</v>
      </c>
      <c r="J4" s="17" t="s">
        <v>1090</v>
      </c>
      <c r="K4" s="17" t="s">
        <v>1091</v>
      </c>
      <c r="L4" s="16" t="s">
        <v>1092</v>
      </c>
      <c r="M4" s="17" t="s">
        <v>1093</v>
      </c>
      <c r="N4" s="16" t="s">
        <v>1094</v>
      </c>
      <c r="O4" s="16" t="s">
        <v>1095</v>
      </c>
    </row>
    <row r="5" spans="1:15" ht="57" customHeight="1">
      <c r="A5" s="16" t="s">
        <v>113</v>
      </c>
      <c r="B5" s="16" t="s">
        <v>114</v>
      </c>
      <c r="C5" s="17" t="s">
        <v>115</v>
      </c>
      <c r="D5" s="16" t="s">
        <v>1096</v>
      </c>
      <c r="E5" s="17" t="s">
        <v>1097</v>
      </c>
      <c r="F5" s="16">
        <v>145</v>
      </c>
      <c r="G5" s="16" t="s">
        <v>123</v>
      </c>
      <c r="H5" s="16" t="s">
        <v>937</v>
      </c>
      <c r="I5" s="18" t="s">
        <v>81</v>
      </c>
      <c r="J5" s="16" t="s">
        <v>938</v>
      </c>
      <c r="K5" s="16" t="s">
        <v>1098</v>
      </c>
      <c r="L5" s="16" t="s">
        <v>124</v>
      </c>
      <c r="M5" s="16" t="s">
        <v>1099</v>
      </c>
      <c r="N5" s="16" t="s">
        <v>939</v>
      </c>
      <c r="O5" s="18" t="s">
        <v>1083</v>
      </c>
    </row>
    <row r="6" spans="1:15" ht="71.25" customHeight="1">
      <c r="A6" s="16" t="s">
        <v>113</v>
      </c>
      <c r="B6" s="16" t="s">
        <v>114</v>
      </c>
      <c r="C6" s="17" t="s">
        <v>115</v>
      </c>
      <c r="D6" s="16" t="s">
        <v>1100</v>
      </c>
      <c r="E6" s="16" t="s">
        <v>1101</v>
      </c>
      <c r="F6" s="16">
        <v>95</v>
      </c>
      <c r="G6" s="16" t="s">
        <v>227</v>
      </c>
      <c r="H6" s="16" t="s">
        <v>937</v>
      </c>
      <c r="I6" s="18" t="s">
        <v>81</v>
      </c>
      <c r="J6" s="16" t="s">
        <v>938</v>
      </c>
      <c r="K6" s="16" t="s">
        <v>1102</v>
      </c>
      <c r="L6" s="16" t="s">
        <v>1103</v>
      </c>
      <c r="M6" s="16" t="s">
        <v>1104</v>
      </c>
      <c r="N6" s="16"/>
      <c r="O6" s="16" t="s">
        <v>1095</v>
      </c>
    </row>
    <row r="7" spans="1:15" ht="57" customHeight="1">
      <c r="A7" s="16" t="s">
        <v>126</v>
      </c>
      <c r="B7" s="16" t="s">
        <v>127</v>
      </c>
      <c r="C7" s="17" t="s">
        <v>128</v>
      </c>
      <c r="D7" s="16" t="s">
        <v>1105</v>
      </c>
      <c r="E7" s="16" t="s">
        <v>1106</v>
      </c>
      <c r="F7" s="16">
        <v>73</v>
      </c>
      <c r="G7" s="16" t="s">
        <v>136</v>
      </c>
      <c r="H7" s="16" t="s">
        <v>940</v>
      </c>
      <c r="I7" s="18" t="s">
        <v>81</v>
      </c>
      <c r="J7" s="16" t="s">
        <v>941</v>
      </c>
      <c r="K7" s="16" t="s">
        <v>1107</v>
      </c>
      <c r="L7" s="16" t="s">
        <v>137</v>
      </c>
      <c r="M7" s="16" t="s">
        <v>1108</v>
      </c>
      <c r="N7" s="16" t="s">
        <v>942</v>
      </c>
      <c r="O7" s="18" t="s">
        <v>1083</v>
      </c>
    </row>
    <row r="8" spans="1:15" ht="57" customHeight="1">
      <c r="A8" s="16" t="s">
        <v>139</v>
      </c>
      <c r="B8" s="16" t="s">
        <v>140</v>
      </c>
      <c r="C8" s="17" t="s">
        <v>141</v>
      </c>
      <c r="D8" s="16" t="s">
        <v>1109</v>
      </c>
      <c r="E8" s="17" t="s">
        <v>1110</v>
      </c>
      <c r="F8" s="16">
        <v>6</v>
      </c>
      <c r="G8" s="16" t="s">
        <v>148</v>
      </c>
      <c r="H8" s="16" t="s">
        <v>937</v>
      </c>
      <c r="I8" s="18" t="s">
        <v>81</v>
      </c>
      <c r="J8" s="16" t="s">
        <v>943</v>
      </c>
      <c r="K8" s="16" t="s">
        <v>1111</v>
      </c>
      <c r="L8" s="16" t="s">
        <v>149</v>
      </c>
      <c r="M8" s="16" t="s">
        <v>1112</v>
      </c>
      <c r="N8" s="17" t="s">
        <v>944</v>
      </c>
      <c r="O8" s="18" t="s">
        <v>1083</v>
      </c>
    </row>
    <row r="9" spans="1:15" ht="57" customHeight="1">
      <c r="A9" s="16" t="s">
        <v>152</v>
      </c>
      <c r="B9" s="16" t="s">
        <v>35</v>
      </c>
      <c r="C9" s="17" t="s">
        <v>153</v>
      </c>
      <c r="D9" s="16" t="s">
        <v>160</v>
      </c>
      <c r="E9" s="16" t="s">
        <v>1113</v>
      </c>
      <c r="F9" s="16">
        <v>2748</v>
      </c>
      <c r="G9" s="16" t="s">
        <v>161</v>
      </c>
      <c r="H9" s="16" t="s">
        <v>945</v>
      </c>
      <c r="I9" s="18" t="s">
        <v>81</v>
      </c>
      <c r="J9" s="16" t="s">
        <v>946</v>
      </c>
      <c r="K9" s="16" t="s">
        <v>1114</v>
      </c>
      <c r="L9" s="16" t="s">
        <v>162</v>
      </c>
      <c r="M9" s="16" t="s">
        <v>1115</v>
      </c>
      <c r="N9" s="17" t="s">
        <v>947</v>
      </c>
      <c r="O9" s="18" t="s">
        <v>1083</v>
      </c>
    </row>
    <row r="10" spans="1:15" ht="42.75" customHeight="1">
      <c r="A10" s="16" t="s">
        <v>164</v>
      </c>
      <c r="B10" s="16" t="s">
        <v>165</v>
      </c>
      <c r="C10" s="17" t="s">
        <v>166</v>
      </c>
      <c r="D10" s="16" t="s">
        <v>1116</v>
      </c>
      <c r="E10" s="17" t="s">
        <v>1117</v>
      </c>
      <c r="F10" s="16">
        <v>16</v>
      </c>
      <c r="G10" s="16" t="s">
        <v>174</v>
      </c>
      <c r="H10" s="16" t="s">
        <v>937</v>
      </c>
      <c r="I10" s="18" t="s">
        <v>81</v>
      </c>
      <c r="J10" s="16" t="s">
        <v>948</v>
      </c>
      <c r="K10" s="16" t="s">
        <v>1118</v>
      </c>
      <c r="L10" s="16" t="s">
        <v>175</v>
      </c>
      <c r="M10" s="16" t="s">
        <v>1119</v>
      </c>
      <c r="N10" s="16"/>
      <c r="O10" s="18" t="s">
        <v>1083</v>
      </c>
    </row>
    <row r="11" spans="1:15" ht="57" customHeight="1">
      <c r="A11" s="16" t="s">
        <v>177</v>
      </c>
      <c r="B11" s="16" t="s">
        <v>178</v>
      </c>
      <c r="C11" s="17" t="s">
        <v>179</v>
      </c>
      <c r="D11" s="16" t="s">
        <v>1120</v>
      </c>
      <c r="E11" s="17" t="s">
        <v>1121</v>
      </c>
      <c r="F11" s="16">
        <v>1475</v>
      </c>
      <c r="G11" s="16" t="s">
        <v>123</v>
      </c>
      <c r="H11" s="16" t="s">
        <v>945</v>
      </c>
      <c r="I11" s="18" t="s">
        <v>81</v>
      </c>
      <c r="J11" s="16" t="s">
        <v>949</v>
      </c>
      <c r="K11" s="17" t="s">
        <v>1122</v>
      </c>
      <c r="L11" s="16" t="s">
        <v>193</v>
      </c>
      <c r="M11" s="17" t="s">
        <v>1123</v>
      </c>
      <c r="N11" s="16" t="s">
        <v>950</v>
      </c>
      <c r="O11" s="18" t="s">
        <v>1083</v>
      </c>
    </row>
    <row r="12" spans="1:15" ht="57" customHeight="1">
      <c r="A12" s="16" t="s">
        <v>195</v>
      </c>
      <c r="B12" s="16" t="s">
        <v>196</v>
      </c>
      <c r="C12" s="17" t="s">
        <v>197</v>
      </c>
      <c r="D12" s="16" t="s">
        <v>1124</v>
      </c>
      <c r="E12" s="17" t="s">
        <v>1125</v>
      </c>
      <c r="F12" s="16">
        <v>8</v>
      </c>
      <c r="G12" s="16" t="s">
        <v>204</v>
      </c>
      <c r="H12" s="16" t="s">
        <v>1126</v>
      </c>
      <c r="I12" s="18" t="s">
        <v>81</v>
      </c>
      <c r="J12" s="16" t="s">
        <v>1127</v>
      </c>
      <c r="K12" s="16" t="s">
        <v>1128</v>
      </c>
      <c r="L12" s="16" t="s">
        <v>1129</v>
      </c>
      <c r="M12" s="17" t="s">
        <v>1130</v>
      </c>
      <c r="N12" s="16"/>
      <c r="O12" s="16" t="s">
        <v>1095</v>
      </c>
    </row>
    <row r="13" spans="1:15" ht="114" customHeight="1">
      <c r="A13" s="16" t="s">
        <v>195</v>
      </c>
      <c r="B13" s="16" t="s">
        <v>196</v>
      </c>
      <c r="C13" s="17" t="s">
        <v>197</v>
      </c>
      <c r="D13" s="16" t="s">
        <v>203</v>
      </c>
      <c r="E13" s="17" t="s">
        <v>1131</v>
      </c>
      <c r="F13" s="16">
        <v>183</v>
      </c>
      <c r="G13" s="16" t="s">
        <v>204</v>
      </c>
      <c r="H13" s="16" t="s">
        <v>934</v>
      </c>
      <c r="I13" s="20" t="s">
        <v>102</v>
      </c>
      <c r="J13" s="16" t="s">
        <v>951</v>
      </c>
      <c r="K13" s="16" t="s">
        <v>1132</v>
      </c>
      <c r="L13" s="16" t="s">
        <v>205</v>
      </c>
      <c r="M13" s="17" t="s">
        <v>1133</v>
      </c>
      <c r="N13" s="16" t="s">
        <v>952</v>
      </c>
      <c r="O13" s="18" t="s">
        <v>1083</v>
      </c>
    </row>
    <row r="14" spans="1:15" ht="85.5" customHeight="1">
      <c r="A14" s="16" t="s">
        <v>208</v>
      </c>
      <c r="B14" s="16" t="s">
        <v>37</v>
      </c>
      <c r="C14" s="17" t="s">
        <v>209</v>
      </c>
      <c r="D14" s="16" t="s">
        <v>1134</v>
      </c>
      <c r="E14" s="17" t="s">
        <v>1135</v>
      </c>
      <c r="F14" s="16">
        <v>8</v>
      </c>
      <c r="G14" s="16" t="s">
        <v>157</v>
      </c>
      <c r="H14" s="16" t="s">
        <v>937</v>
      </c>
      <c r="I14" s="18" t="s">
        <v>81</v>
      </c>
      <c r="J14" s="16" t="s">
        <v>953</v>
      </c>
      <c r="K14" s="17" t="s">
        <v>1136</v>
      </c>
      <c r="L14" s="16" t="s">
        <v>219</v>
      </c>
      <c r="M14" s="16" t="s">
        <v>1137</v>
      </c>
      <c r="N14" s="17" t="s">
        <v>954</v>
      </c>
      <c r="O14" s="18" t="s">
        <v>1083</v>
      </c>
    </row>
    <row r="15" spans="1:15" ht="42.75" customHeight="1">
      <c r="A15" s="16" t="s">
        <v>221</v>
      </c>
      <c r="B15" s="16" t="s">
        <v>222</v>
      </c>
      <c r="C15" s="17" t="s">
        <v>223</v>
      </c>
      <c r="D15" s="16" t="s">
        <v>1138</v>
      </c>
      <c r="E15" s="16" t="s">
        <v>1139</v>
      </c>
      <c r="F15" s="16">
        <v>724</v>
      </c>
      <c r="G15" s="16" t="s">
        <v>230</v>
      </c>
      <c r="H15" s="16" t="s">
        <v>937</v>
      </c>
      <c r="I15" s="18" t="s">
        <v>81</v>
      </c>
      <c r="J15" s="16" t="s">
        <v>955</v>
      </c>
      <c r="K15" s="16" t="s">
        <v>1140</v>
      </c>
      <c r="L15" s="16" t="s">
        <v>231</v>
      </c>
      <c r="M15" s="16" t="s">
        <v>1141</v>
      </c>
      <c r="N15" s="16"/>
      <c r="O15" s="18" t="s">
        <v>1083</v>
      </c>
    </row>
    <row r="16" spans="1:15" ht="57" customHeight="1">
      <c r="A16" s="16" t="s">
        <v>221</v>
      </c>
      <c r="B16" s="16" t="s">
        <v>222</v>
      </c>
      <c r="C16" s="17" t="s">
        <v>223</v>
      </c>
      <c r="D16" s="16" t="s">
        <v>1142</v>
      </c>
      <c r="E16" s="17" t="s">
        <v>1143</v>
      </c>
      <c r="F16" s="16">
        <v>35</v>
      </c>
      <c r="G16" s="16" t="s">
        <v>148</v>
      </c>
      <c r="H16" s="16" t="s">
        <v>940</v>
      </c>
      <c r="I16" s="18" t="s">
        <v>81</v>
      </c>
      <c r="J16" s="16" t="s">
        <v>1144</v>
      </c>
      <c r="K16" s="16" t="s">
        <v>1145</v>
      </c>
      <c r="L16" s="16" t="s">
        <v>1146</v>
      </c>
      <c r="M16" s="16" t="s">
        <v>1147</v>
      </c>
      <c r="N16" s="16"/>
      <c r="O16" s="16" t="s">
        <v>1095</v>
      </c>
    </row>
    <row r="17" spans="1:15" ht="57" customHeight="1">
      <c r="A17" s="16" t="s">
        <v>233</v>
      </c>
      <c r="B17" s="16" t="s">
        <v>36</v>
      </c>
      <c r="C17" s="17" t="s">
        <v>234</v>
      </c>
      <c r="D17" s="16" t="s">
        <v>1148</v>
      </c>
      <c r="E17" s="17" t="s">
        <v>1149</v>
      </c>
      <c r="F17" s="16">
        <v>116</v>
      </c>
      <c r="G17" s="16" t="s">
        <v>204</v>
      </c>
      <c r="H17" s="16" t="s">
        <v>937</v>
      </c>
      <c r="I17" s="20" t="s">
        <v>102</v>
      </c>
      <c r="J17" s="16" t="s">
        <v>956</v>
      </c>
      <c r="K17" s="16" t="s">
        <v>1150</v>
      </c>
      <c r="L17" s="16" t="s">
        <v>242</v>
      </c>
      <c r="M17" s="16" t="s">
        <v>1151</v>
      </c>
      <c r="N17" s="16" t="s">
        <v>957</v>
      </c>
      <c r="O17" s="18" t="s">
        <v>1083</v>
      </c>
    </row>
    <row r="18" spans="1:15" ht="42.75" customHeight="1">
      <c r="A18" s="16" t="s">
        <v>244</v>
      </c>
      <c r="B18" s="16" t="s">
        <v>245</v>
      </c>
      <c r="C18" s="17" t="s">
        <v>246</v>
      </c>
      <c r="D18" s="16" t="s">
        <v>1152</v>
      </c>
      <c r="E18" s="17" t="s">
        <v>1153</v>
      </c>
      <c r="F18" s="16">
        <v>31</v>
      </c>
      <c r="G18" s="16" t="s">
        <v>253</v>
      </c>
      <c r="H18" s="16" t="s">
        <v>937</v>
      </c>
      <c r="I18" s="18" t="s">
        <v>81</v>
      </c>
      <c r="J18" s="16" t="s">
        <v>958</v>
      </c>
      <c r="K18" s="16" t="s">
        <v>1154</v>
      </c>
      <c r="L18" s="16" t="s">
        <v>254</v>
      </c>
      <c r="M18" s="16" t="s">
        <v>1155</v>
      </c>
      <c r="N18" s="16"/>
      <c r="O18" s="18" t="s">
        <v>1083</v>
      </c>
    </row>
    <row r="19" spans="1:15" ht="42.75" customHeight="1">
      <c r="A19" s="16" t="s">
        <v>896</v>
      </c>
      <c r="B19" s="16" t="s">
        <v>897</v>
      </c>
      <c r="C19" s="17" t="s">
        <v>898</v>
      </c>
      <c r="D19" s="16" t="s">
        <v>1156</v>
      </c>
      <c r="E19" s="17" t="s">
        <v>1157</v>
      </c>
      <c r="F19" s="16">
        <v>1962</v>
      </c>
      <c r="G19" s="16" t="s">
        <v>132</v>
      </c>
      <c r="H19" s="16" t="s">
        <v>937</v>
      </c>
      <c r="I19" s="18" t="s">
        <v>81</v>
      </c>
      <c r="J19" s="16" t="s">
        <v>1070</v>
      </c>
      <c r="K19" s="16" t="s">
        <v>1158</v>
      </c>
      <c r="L19" s="16" t="s">
        <v>906</v>
      </c>
      <c r="M19" s="16" t="s">
        <v>1159</v>
      </c>
      <c r="N19" s="16" t="s">
        <v>950</v>
      </c>
      <c r="O19" s="18" t="s">
        <v>1083</v>
      </c>
    </row>
    <row r="20" spans="1:15" ht="57" customHeight="1">
      <c r="A20" s="16" t="s">
        <v>908</v>
      </c>
      <c r="B20" s="16" t="s">
        <v>909</v>
      </c>
      <c r="C20" s="17" t="s">
        <v>910</v>
      </c>
      <c r="D20" s="16" t="s">
        <v>1160</v>
      </c>
      <c r="E20" s="17" t="s">
        <v>1157</v>
      </c>
      <c r="F20" s="16">
        <v>153</v>
      </c>
      <c r="G20" s="16" t="s">
        <v>914</v>
      </c>
      <c r="H20" s="16" t="s">
        <v>937</v>
      </c>
      <c r="I20" s="18" t="s">
        <v>81</v>
      </c>
      <c r="J20" s="16" t="s">
        <v>1071</v>
      </c>
      <c r="K20" s="16" t="s">
        <v>1161</v>
      </c>
      <c r="L20" s="16" t="s">
        <v>915</v>
      </c>
      <c r="M20" s="16" t="s">
        <v>1162</v>
      </c>
      <c r="N20" s="16" t="s">
        <v>1072</v>
      </c>
      <c r="O20" s="18" t="s">
        <v>1083</v>
      </c>
    </row>
    <row r="21" spans="1:15" ht="42.75" customHeight="1">
      <c r="A21" s="16" t="s">
        <v>330</v>
      </c>
      <c r="B21" s="16" t="s">
        <v>331</v>
      </c>
      <c r="C21" s="17" t="s">
        <v>332</v>
      </c>
      <c r="D21" s="16" t="s">
        <v>1163</v>
      </c>
      <c r="E21" s="17" t="s">
        <v>1164</v>
      </c>
      <c r="F21" s="16">
        <v>577</v>
      </c>
      <c r="G21" s="16" t="s">
        <v>337</v>
      </c>
      <c r="H21" s="16" t="s">
        <v>937</v>
      </c>
      <c r="I21" s="18" t="s">
        <v>81</v>
      </c>
      <c r="J21" s="16" t="s">
        <v>972</v>
      </c>
      <c r="K21" s="16" t="s">
        <v>1165</v>
      </c>
      <c r="L21" s="16" t="s">
        <v>338</v>
      </c>
      <c r="M21" s="16" t="s">
        <v>1166</v>
      </c>
      <c r="N21" s="16"/>
      <c r="O21" s="18" t="s">
        <v>1083</v>
      </c>
    </row>
    <row r="22" spans="1:15" ht="71.25" customHeight="1">
      <c r="A22" s="16" t="s">
        <v>340</v>
      </c>
      <c r="B22" s="16" t="s">
        <v>341</v>
      </c>
      <c r="C22" s="17" t="s">
        <v>342</v>
      </c>
      <c r="D22" s="16" t="s">
        <v>1167</v>
      </c>
      <c r="E22" s="17" t="s">
        <v>1168</v>
      </c>
      <c r="F22" s="16">
        <v>215</v>
      </c>
      <c r="G22" s="16" t="s">
        <v>350</v>
      </c>
      <c r="H22" s="16" t="s">
        <v>940</v>
      </c>
      <c r="I22" s="18" t="s">
        <v>81</v>
      </c>
      <c r="J22" s="16" t="s">
        <v>973</v>
      </c>
      <c r="K22" s="16" t="s">
        <v>1169</v>
      </c>
      <c r="L22" s="16" t="s">
        <v>351</v>
      </c>
      <c r="M22" s="16" t="s">
        <v>1170</v>
      </c>
      <c r="N22" s="17" t="s">
        <v>974</v>
      </c>
      <c r="O22" s="18" t="s">
        <v>1083</v>
      </c>
    </row>
    <row r="23" spans="1:15" ht="57" customHeight="1">
      <c r="A23" s="16" t="s">
        <v>353</v>
      </c>
      <c r="B23" s="16" t="s">
        <v>354</v>
      </c>
      <c r="C23" s="17" t="s">
        <v>355</v>
      </c>
      <c r="D23" s="16" t="s">
        <v>1171</v>
      </c>
      <c r="E23" s="17" t="s">
        <v>1168</v>
      </c>
      <c r="F23" s="16">
        <v>132</v>
      </c>
      <c r="G23" s="16" t="s">
        <v>359</v>
      </c>
      <c r="H23" s="16" t="s">
        <v>934</v>
      </c>
      <c r="I23" s="18" t="s">
        <v>81</v>
      </c>
      <c r="J23" s="16" t="s">
        <v>975</v>
      </c>
      <c r="K23" s="16" t="s">
        <v>1172</v>
      </c>
      <c r="L23" s="16" t="s">
        <v>361</v>
      </c>
      <c r="M23" s="16" t="s">
        <v>1173</v>
      </c>
      <c r="N23" s="16"/>
      <c r="O23" s="18" t="s">
        <v>1083</v>
      </c>
    </row>
    <row r="24" spans="1:15" ht="42.75" customHeight="1">
      <c r="A24" s="16" t="s">
        <v>363</v>
      </c>
      <c r="B24" s="16" t="s">
        <v>364</v>
      </c>
      <c r="C24" s="17" t="s">
        <v>365</v>
      </c>
      <c r="D24" s="16" t="s">
        <v>349</v>
      </c>
      <c r="E24" s="17" t="s">
        <v>1168</v>
      </c>
      <c r="F24" s="16">
        <v>106</v>
      </c>
      <c r="G24" s="16" t="s">
        <v>267</v>
      </c>
      <c r="H24" s="16" t="s">
        <v>940</v>
      </c>
      <c r="I24" s="18" t="s">
        <v>81</v>
      </c>
      <c r="J24" s="16" t="s">
        <v>976</v>
      </c>
      <c r="K24" s="16" t="s">
        <v>1174</v>
      </c>
      <c r="L24" s="16" t="s">
        <v>371</v>
      </c>
      <c r="M24" s="16" t="s">
        <v>1175</v>
      </c>
      <c r="N24" s="16"/>
      <c r="O24" s="18" t="s">
        <v>1083</v>
      </c>
    </row>
    <row r="25" spans="1:15" ht="57" customHeight="1">
      <c r="A25" s="16" t="s">
        <v>373</v>
      </c>
      <c r="B25" s="16" t="s">
        <v>374</v>
      </c>
      <c r="C25" s="17" t="s">
        <v>375</v>
      </c>
      <c r="D25" s="16" t="s">
        <v>349</v>
      </c>
      <c r="E25" s="17" t="s">
        <v>1168</v>
      </c>
      <c r="F25" s="16">
        <v>51</v>
      </c>
      <c r="G25" s="16" t="s">
        <v>227</v>
      </c>
      <c r="H25" s="16" t="s">
        <v>940</v>
      </c>
      <c r="I25" s="18" t="s">
        <v>81</v>
      </c>
      <c r="J25" s="16" t="s">
        <v>977</v>
      </c>
      <c r="K25" s="16" t="s">
        <v>1176</v>
      </c>
      <c r="L25" s="16" t="s">
        <v>380</v>
      </c>
      <c r="M25" s="16" t="s">
        <v>1177</v>
      </c>
      <c r="N25" s="16"/>
      <c r="O25" s="18" t="s">
        <v>1083</v>
      </c>
    </row>
    <row r="26" spans="1:15" ht="57" customHeight="1">
      <c r="A26" s="16" t="s">
        <v>495</v>
      </c>
      <c r="B26" s="16" t="s">
        <v>496</v>
      </c>
      <c r="C26" s="17" t="s">
        <v>497</v>
      </c>
      <c r="D26" s="16" t="s">
        <v>505</v>
      </c>
      <c r="E26" s="16" t="s">
        <v>1178</v>
      </c>
      <c r="F26" s="16">
        <v>78</v>
      </c>
      <c r="G26" s="16" t="s">
        <v>506</v>
      </c>
      <c r="H26" s="16" t="s">
        <v>937</v>
      </c>
      <c r="I26" s="20" t="s">
        <v>102</v>
      </c>
      <c r="J26" s="16" t="s">
        <v>994</v>
      </c>
      <c r="K26" s="16" t="s">
        <v>1179</v>
      </c>
      <c r="L26" s="16" t="s">
        <v>507</v>
      </c>
      <c r="M26" s="16" t="s">
        <v>1180</v>
      </c>
      <c r="N26" s="17" t="s">
        <v>995</v>
      </c>
      <c r="O26" s="18" t="s">
        <v>1083</v>
      </c>
    </row>
    <row r="27" spans="1:15" ht="57" customHeight="1">
      <c r="A27" s="16" t="s">
        <v>509</v>
      </c>
      <c r="B27" s="16" t="s">
        <v>510</v>
      </c>
      <c r="C27" s="17" t="s">
        <v>511</v>
      </c>
      <c r="D27" s="16" t="s">
        <v>518</v>
      </c>
      <c r="E27" s="17" t="s">
        <v>1181</v>
      </c>
      <c r="F27" s="16">
        <v>21</v>
      </c>
      <c r="G27" s="16" t="s">
        <v>132</v>
      </c>
      <c r="H27" s="16" t="s">
        <v>937</v>
      </c>
      <c r="I27" s="18" t="s">
        <v>81</v>
      </c>
      <c r="J27" s="16" t="s">
        <v>996</v>
      </c>
      <c r="K27" s="16" t="s">
        <v>1182</v>
      </c>
      <c r="L27" s="16" t="s">
        <v>519</v>
      </c>
      <c r="M27" s="16" t="s">
        <v>1183</v>
      </c>
      <c r="N27" s="17" t="s">
        <v>997</v>
      </c>
      <c r="O27" s="18" t="s">
        <v>1083</v>
      </c>
    </row>
    <row r="28" spans="1:15" ht="57" customHeight="1">
      <c r="A28" s="16" t="s">
        <v>296</v>
      </c>
      <c r="B28" s="16" t="s">
        <v>297</v>
      </c>
      <c r="C28" s="17" t="s">
        <v>298</v>
      </c>
      <c r="D28" s="16" t="s">
        <v>305</v>
      </c>
      <c r="E28" s="16" t="s">
        <v>1184</v>
      </c>
      <c r="F28" s="16">
        <v>8147</v>
      </c>
      <c r="G28" s="16" t="s">
        <v>92</v>
      </c>
      <c r="H28" s="16" t="s">
        <v>945</v>
      </c>
      <c r="I28" s="18" t="s">
        <v>81</v>
      </c>
      <c r="J28" s="16" t="s">
        <v>966</v>
      </c>
      <c r="K28" s="16" t="s">
        <v>1185</v>
      </c>
      <c r="L28" s="16" t="s">
        <v>306</v>
      </c>
      <c r="M28" s="16" t="s">
        <v>1186</v>
      </c>
      <c r="N28" s="16" t="s">
        <v>967</v>
      </c>
      <c r="O28" s="18" t="s">
        <v>1083</v>
      </c>
    </row>
    <row r="29" spans="1:15" ht="71.25" customHeight="1">
      <c r="A29" s="16" t="s">
        <v>282</v>
      </c>
      <c r="B29" s="16" t="s">
        <v>283</v>
      </c>
      <c r="C29" s="17" t="s">
        <v>284</v>
      </c>
      <c r="D29" s="16" t="s">
        <v>1187</v>
      </c>
      <c r="E29" s="17" t="s">
        <v>1188</v>
      </c>
      <c r="F29" s="16">
        <v>195</v>
      </c>
      <c r="G29" s="16" t="s">
        <v>293</v>
      </c>
      <c r="H29" s="16" t="s">
        <v>937</v>
      </c>
      <c r="I29" s="18" t="s">
        <v>81</v>
      </c>
      <c r="J29" s="16" t="s">
        <v>964</v>
      </c>
      <c r="K29" s="16" t="s">
        <v>1189</v>
      </c>
      <c r="L29" s="16" t="s">
        <v>294</v>
      </c>
      <c r="M29" s="16" t="s">
        <v>1190</v>
      </c>
      <c r="N29" s="16" t="s">
        <v>965</v>
      </c>
      <c r="O29" s="18" t="s">
        <v>1083</v>
      </c>
    </row>
    <row r="30" spans="1:15" ht="71.25" customHeight="1">
      <c r="A30" s="16" t="s">
        <v>436</v>
      </c>
      <c r="B30" s="16" t="s">
        <v>437</v>
      </c>
      <c r="C30" s="17" t="s">
        <v>438</v>
      </c>
      <c r="D30" s="16" t="s">
        <v>444</v>
      </c>
      <c r="E30" s="16" t="s">
        <v>1191</v>
      </c>
      <c r="F30" s="16">
        <v>48</v>
      </c>
      <c r="G30" s="16" t="s">
        <v>101</v>
      </c>
      <c r="H30" s="16" t="s">
        <v>937</v>
      </c>
      <c r="I30" s="20" t="s">
        <v>102</v>
      </c>
      <c r="J30" s="16" t="s">
        <v>986</v>
      </c>
      <c r="K30" s="16" t="s">
        <v>1192</v>
      </c>
      <c r="L30" s="16" t="s">
        <v>985</v>
      </c>
      <c r="M30" s="16" t="s">
        <v>1193</v>
      </c>
      <c r="N30" s="17" t="s">
        <v>1194</v>
      </c>
      <c r="O30" s="18" t="s">
        <v>1083</v>
      </c>
    </row>
    <row r="31" spans="1:15" ht="85.5" customHeight="1">
      <c r="A31" s="16" t="s">
        <v>447</v>
      </c>
      <c r="B31" s="16" t="s">
        <v>448</v>
      </c>
      <c r="C31" s="17" t="s">
        <v>449</v>
      </c>
      <c r="D31" s="16" t="s">
        <v>1195</v>
      </c>
      <c r="E31" s="17" t="s">
        <v>1097</v>
      </c>
      <c r="F31" s="16">
        <v>30</v>
      </c>
      <c r="G31" s="16" t="s">
        <v>204</v>
      </c>
      <c r="H31" s="16" t="s">
        <v>937</v>
      </c>
      <c r="I31" s="18" t="s">
        <v>81</v>
      </c>
      <c r="J31" s="16" t="s">
        <v>988</v>
      </c>
      <c r="K31" s="16" t="s">
        <v>1196</v>
      </c>
      <c r="L31" s="16" t="s">
        <v>456</v>
      </c>
      <c r="M31" s="16" t="s">
        <v>1197</v>
      </c>
      <c r="N31" s="16"/>
      <c r="O31" s="18" t="s">
        <v>1083</v>
      </c>
    </row>
    <row r="32" spans="1:15" ht="57" customHeight="1">
      <c r="A32" s="16" t="s">
        <v>447</v>
      </c>
      <c r="B32" s="16" t="s">
        <v>448</v>
      </c>
      <c r="C32" s="17" t="s">
        <v>449</v>
      </c>
      <c r="D32" s="16" t="s">
        <v>1198</v>
      </c>
      <c r="E32" s="17" t="s">
        <v>1199</v>
      </c>
      <c r="F32" s="16">
        <v>12</v>
      </c>
      <c r="G32" s="16" t="s">
        <v>204</v>
      </c>
      <c r="H32" s="16" t="s">
        <v>937</v>
      </c>
      <c r="I32" s="18" t="s">
        <v>81</v>
      </c>
      <c r="J32" s="16" t="s">
        <v>988</v>
      </c>
      <c r="K32" s="16" t="s">
        <v>1200</v>
      </c>
      <c r="L32" s="16" t="s">
        <v>456</v>
      </c>
      <c r="M32" s="16" t="s">
        <v>1201</v>
      </c>
      <c r="N32" s="16" t="s">
        <v>1202</v>
      </c>
      <c r="O32" s="16" t="s">
        <v>1095</v>
      </c>
    </row>
    <row r="33" spans="1:15" ht="42.75" customHeight="1">
      <c r="A33" s="16" t="s">
        <v>447</v>
      </c>
      <c r="B33" s="16" t="s">
        <v>448</v>
      </c>
      <c r="C33" s="17" t="s">
        <v>449</v>
      </c>
      <c r="D33" s="16" t="s">
        <v>1203</v>
      </c>
      <c r="E33" s="17" t="s">
        <v>1204</v>
      </c>
      <c r="F33" s="16">
        <v>10</v>
      </c>
      <c r="G33" s="16" t="s">
        <v>204</v>
      </c>
      <c r="H33" s="16" t="s">
        <v>937</v>
      </c>
      <c r="I33" s="18" t="s">
        <v>81</v>
      </c>
      <c r="J33" s="16" t="s">
        <v>988</v>
      </c>
      <c r="K33" s="16" t="s">
        <v>1200</v>
      </c>
      <c r="L33" s="16" t="s">
        <v>456</v>
      </c>
      <c r="M33" s="16" t="s">
        <v>1205</v>
      </c>
      <c r="N33" s="16"/>
      <c r="O33" s="16" t="s">
        <v>1095</v>
      </c>
    </row>
    <row r="34" spans="1:15" ht="71.25" customHeight="1">
      <c r="A34" s="16" t="s">
        <v>256</v>
      </c>
      <c r="B34" s="16" t="s">
        <v>257</v>
      </c>
      <c r="C34" s="17" t="s">
        <v>258</v>
      </c>
      <c r="D34" s="16" t="s">
        <v>1206</v>
      </c>
      <c r="E34" s="16" t="s">
        <v>1207</v>
      </c>
      <c r="F34" s="16">
        <v>2145</v>
      </c>
      <c r="G34" s="16" t="s">
        <v>267</v>
      </c>
      <c r="H34" s="16" t="s">
        <v>959</v>
      </c>
      <c r="I34" s="20" t="s">
        <v>102</v>
      </c>
      <c r="J34" s="16" t="s">
        <v>960</v>
      </c>
      <c r="K34" s="16" t="s">
        <v>1208</v>
      </c>
      <c r="L34" s="16" t="s">
        <v>268</v>
      </c>
      <c r="M34" s="16" t="s">
        <v>1209</v>
      </c>
      <c r="N34" s="16" t="s">
        <v>961</v>
      </c>
      <c r="O34" s="18" t="s">
        <v>1083</v>
      </c>
    </row>
    <row r="35" spans="1:15" ht="85.5" customHeight="1">
      <c r="A35" s="16" t="s">
        <v>270</v>
      </c>
      <c r="B35" s="16" t="s">
        <v>271</v>
      </c>
      <c r="C35" s="17" t="s">
        <v>272</v>
      </c>
      <c r="D35" s="16" t="s">
        <v>1210</v>
      </c>
      <c r="E35" s="17" t="s">
        <v>1211</v>
      </c>
      <c r="F35" s="16">
        <v>136</v>
      </c>
      <c r="G35" s="16" t="s">
        <v>279</v>
      </c>
      <c r="H35" s="16" t="s">
        <v>940</v>
      </c>
      <c r="I35" s="18" t="s">
        <v>81</v>
      </c>
      <c r="J35" s="16" t="s">
        <v>962</v>
      </c>
      <c r="K35" s="16" t="s">
        <v>1212</v>
      </c>
      <c r="L35" s="16" t="s">
        <v>280</v>
      </c>
      <c r="M35" s="16" t="s">
        <v>1213</v>
      </c>
      <c r="N35" s="17" t="s">
        <v>963</v>
      </c>
      <c r="O35" s="18" t="s">
        <v>1083</v>
      </c>
    </row>
    <row r="36" spans="1:15" ht="42.75" customHeight="1">
      <c r="A36" s="16" t="s">
        <v>270</v>
      </c>
      <c r="B36" s="16" t="s">
        <v>271</v>
      </c>
      <c r="C36" s="17" t="s">
        <v>272</v>
      </c>
      <c r="D36" s="16" t="s">
        <v>1214</v>
      </c>
      <c r="E36" s="16" t="s">
        <v>1215</v>
      </c>
      <c r="F36" s="16">
        <v>12</v>
      </c>
      <c r="G36" s="16" t="s">
        <v>279</v>
      </c>
      <c r="H36" s="16" t="s">
        <v>940</v>
      </c>
      <c r="I36" s="18" t="s">
        <v>81</v>
      </c>
      <c r="J36" s="16" t="s">
        <v>962</v>
      </c>
      <c r="K36" s="16" t="s">
        <v>1216</v>
      </c>
      <c r="L36" s="16" t="s">
        <v>280</v>
      </c>
      <c r="M36" s="16" t="s">
        <v>1217</v>
      </c>
      <c r="N36" s="16"/>
      <c r="O36" s="16" t="s">
        <v>1095</v>
      </c>
    </row>
    <row r="37" spans="1:15" ht="42.75" customHeight="1">
      <c r="A37" s="16" t="s">
        <v>270</v>
      </c>
      <c r="B37" s="16" t="s">
        <v>271</v>
      </c>
      <c r="C37" s="17" t="s">
        <v>272</v>
      </c>
      <c r="D37" s="16" t="s">
        <v>1218</v>
      </c>
      <c r="E37" s="17" t="s">
        <v>1219</v>
      </c>
      <c r="F37" s="16">
        <v>80</v>
      </c>
      <c r="G37" s="16" t="s">
        <v>279</v>
      </c>
      <c r="H37" s="16" t="s">
        <v>940</v>
      </c>
      <c r="I37" s="18" t="s">
        <v>81</v>
      </c>
      <c r="J37" s="16" t="s">
        <v>962</v>
      </c>
      <c r="K37" s="16" t="s">
        <v>1216</v>
      </c>
      <c r="L37" s="16" t="s">
        <v>280</v>
      </c>
      <c r="M37" s="16" t="s">
        <v>1220</v>
      </c>
      <c r="N37" s="17" t="s">
        <v>1221</v>
      </c>
      <c r="O37" s="16" t="s">
        <v>1095</v>
      </c>
    </row>
    <row r="38" spans="1:15" ht="71.25" customHeight="1">
      <c r="A38" s="16" t="s">
        <v>826</v>
      </c>
      <c r="B38" s="16" t="s">
        <v>827</v>
      </c>
      <c r="C38" s="17" t="s">
        <v>828</v>
      </c>
      <c r="D38" s="16" t="s">
        <v>1222</v>
      </c>
      <c r="E38" s="17" t="s">
        <v>1223</v>
      </c>
      <c r="F38" s="16">
        <v>339</v>
      </c>
      <c r="G38" s="16" t="s">
        <v>707</v>
      </c>
      <c r="H38" s="16" t="s">
        <v>937</v>
      </c>
      <c r="I38" s="18" t="s">
        <v>81</v>
      </c>
      <c r="J38" s="16" t="s">
        <v>1057</v>
      </c>
      <c r="K38" s="16" t="s">
        <v>1224</v>
      </c>
      <c r="L38" s="16" t="s">
        <v>834</v>
      </c>
      <c r="M38" s="16" t="s">
        <v>1225</v>
      </c>
      <c r="N38" s="17" t="s">
        <v>1058</v>
      </c>
      <c r="O38" s="18" t="s">
        <v>1083</v>
      </c>
    </row>
    <row r="39" spans="1:15" ht="57" customHeight="1">
      <c r="A39" s="16" t="s">
        <v>836</v>
      </c>
      <c r="B39" s="16" t="s">
        <v>837</v>
      </c>
      <c r="C39" s="17" t="s">
        <v>838</v>
      </c>
      <c r="D39" s="16" t="s">
        <v>1195</v>
      </c>
      <c r="E39" s="16" t="s">
        <v>1226</v>
      </c>
      <c r="F39" s="16">
        <v>139</v>
      </c>
      <c r="G39" s="16" t="s">
        <v>204</v>
      </c>
      <c r="H39" s="16" t="s">
        <v>937</v>
      </c>
      <c r="I39" s="18" t="s">
        <v>81</v>
      </c>
      <c r="J39" s="16" t="s">
        <v>1059</v>
      </c>
      <c r="K39" s="16" t="s">
        <v>1227</v>
      </c>
      <c r="L39" s="16" t="s">
        <v>842</v>
      </c>
      <c r="M39" s="16" t="s">
        <v>1228</v>
      </c>
      <c r="N39" s="16"/>
      <c r="O39" s="18" t="s">
        <v>1083</v>
      </c>
    </row>
    <row r="40" spans="1:15" ht="42.75" customHeight="1">
      <c r="A40" s="16" t="s">
        <v>605</v>
      </c>
      <c r="B40" s="16" t="s">
        <v>606</v>
      </c>
      <c r="C40" s="17" t="s">
        <v>607</v>
      </c>
      <c r="D40" s="16" t="s">
        <v>1229</v>
      </c>
      <c r="E40" s="17" t="s">
        <v>1117</v>
      </c>
      <c r="F40" s="16">
        <v>24</v>
      </c>
      <c r="G40" s="16" t="s">
        <v>326</v>
      </c>
      <c r="H40" s="16" t="s">
        <v>937</v>
      </c>
      <c r="I40" s="18" t="s">
        <v>81</v>
      </c>
      <c r="J40" s="16" t="s">
        <v>1013</v>
      </c>
      <c r="K40" s="16" t="s">
        <v>1230</v>
      </c>
      <c r="L40" s="16" t="s">
        <v>614</v>
      </c>
      <c r="M40" s="16" t="s">
        <v>1231</v>
      </c>
      <c r="N40" s="16" t="s">
        <v>1014</v>
      </c>
      <c r="O40" s="18" t="s">
        <v>1083</v>
      </c>
    </row>
    <row r="41" spans="1:15" ht="28.5" customHeight="1">
      <c r="A41" s="16" t="s">
        <v>605</v>
      </c>
      <c r="B41" s="16" t="s">
        <v>606</v>
      </c>
      <c r="C41" s="17" t="s">
        <v>607</v>
      </c>
      <c r="D41" s="16" t="s">
        <v>1232</v>
      </c>
      <c r="E41" s="17" t="s">
        <v>1233</v>
      </c>
      <c r="F41" s="16">
        <v>48</v>
      </c>
      <c r="G41" s="16" t="s">
        <v>326</v>
      </c>
      <c r="H41" s="16" t="s">
        <v>937</v>
      </c>
      <c r="I41" s="18" t="s">
        <v>81</v>
      </c>
      <c r="J41" s="16" t="s">
        <v>1013</v>
      </c>
      <c r="K41" s="16" t="s">
        <v>1234</v>
      </c>
      <c r="L41" s="16" t="s">
        <v>614</v>
      </c>
      <c r="M41" s="16" t="s">
        <v>1235</v>
      </c>
      <c r="N41" s="16"/>
      <c r="O41" s="16" t="s">
        <v>1095</v>
      </c>
    </row>
    <row r="42" spans="1:15" ht="42.75" customHeight="1">
      <c r="A42" s="16" t="s">
        <v>585</v>
      </c>
      <c r="B42" s="16" t="s">
        <v>586</v>
      </c>
      <c r="C42" s="17" t="s">
        <v>587</v>
      </c>
      <c r="D42" s="16" t="s">
        <v>594</v>
      </c>
      <c r="E42" s="17" t="s">
        <v>1236</v>
      </c>
      <c r="F42" s="16">
        <v>784</v>
      </c>
      <c r="G42" s="16" t="s">
        <v>539</v>
      </c>
      <c r="H42" s="16" t="s">
        <v>937</v>
      </c>
      <c r="I42" s="18" t="s">
        <v>81</v>
      </c>
      <c r="J42" s="16" t="s">
        <v>1011</v>
      </c>
      <c r="K42" s="16" t="s">
        <v>1237</v>
      </c>
      <c r="L42" s="16" t="s">
        <v>595</v>
      </c>
      <c r="M42" s="16" t="s">
        <v>1238</v>
      </c>
      <c r="N42" s="16"/>
      <c r="O42" s="18" t="s">
        <v>1083</v>
      </c>
    </row>
    <row r="43" spans="1:15" ht="42.75" customHeight="1">
      <c r="A43" s="16" t="s">
        <v>521</v>
      </c>
      <c r="B43" s="16" t="s">
        <v>522</v>
      </c>
      <c r="C43" s="17" t="s">
        <v>523</v>
      </c>
      <c r="D43" s="16" t="s">
        <v>1239</v>
      </c>
      <c r="E43" s="17" t="s">
        <v>1240</v>
      </c>
      <c r="F43" s="16">
        <v>7</v>
      </c>
      <c r="G43" s="16" t="s">
        <v>529</v>
      </c>
      <c r="H43" s="16" t="s">
        <v>937</v>
      </c>
      <c r="I43" s="18" t="s">
        <v>81</v>
      </c>
      <c r="J43" s="16" t="s">
        <v>998</v>
      </c>
      <c r="K43" s="16" t="s">
        <v>1241</v>
      </c>
      <c r="L43" s="16" t="s">
        <v>530</v>
      </c>
      <c r="M43" s="16" t="s">
        <v>1242</v>
      </c>
      <c r="N43" s="17" t="s">
        <v>1243</v>
      </c>
      <c r="O43" s="18" t="s">
        <v>1083</v>
      </c>
    </row>
    <row r="44" spans="1:15" ht="57" customHeight="1">
      <c r="A44" s="16" t="s">
        <v>542</v>
      </c>
      <c r="B44" s="16" t="s">
        <v>543</v>
      </c>
      <c r="C44" s="17" t="s">
        <v>544</v>
      </c>
      <c r="D44" s="16" t="s">
        <v>551</v>
      </c>
      <c r="E44" s="17" t="s">
        <v>1244</v>
      </c>
      <c r="F44" s="16">
        <v>2</v>
      </c>
      <c r="G44" s="16" t="s">
        <v>552</v>
      </c>
      <c r="H44" s="16" t="s">
        <v>937</v>
      </c>
      <c r="I44" s="18" t="s">
        <v>81</v>
      </c>
      <c r="J44" s="16" t="s">
        <v>964</v>
      </c>
      <c r="K44" s="16" t="s">
        <v>1245</v>
      </c>
      <c r="L44" s="16" t="s">
        <v>553</v>
      </c>
      <c r="M44" s="16" t="s">
        <v>1246</v>
      </c>
      <c r="N44" s="16"/>
      <c r="O44" s="18" t="s">
        <v>1083</v>
      </c>
    </row>
    <row r="45" spans="1:15" ht="85.5" customHeight="1">
      <c r="A45" s="16" t="s">
        <v>803</v>
      </c>
      <c r="B45" s="16" t="s">
        <v>804</v>
      </c>
      <c r="C45" s="17" t="s">
        <v>805</v>
      </c>
      <c r="D45" s="16" t="s">
        <v>812</v>
      </c>
      <c r="E45" s="16" t="s">
        <v>1247</v>
      </c>
      <c r="F45" s="16">
        <v>10</v>
      </c>
      <c r="G45" s="16" t="s">
        <v>279</v>
      </c>
      <c r="H45" s="16" t="s">
        <v>937</v>
      </c>
      <c r="I45" s="18" t="s">
        <v>81</v>
      </c>
      <c r="J45" s="16" t="s">
        <v>1052</v>
      </c>
      <c r="K45" s="16" t="s">
        <v>1248</v>
      </c>
      <c r="L45" s="16" t="s">
        <v>813</v>
      </c>
      <c r="M45" s="16" t="s">
        <v>1249</v>
      </c>
      <c r="N45" s="17" t="s">
        <v>1250</v>
      </c>
      <c r="O45" s="18" t="s">
        <v>1083</v>
      </c>
    </row>
    <row r="46" spans="1:15" ht="57" customHeight="1">
      <c r="A46" s="16" t="s">
        <v>917</v>
      </c>
      <c r="B46" s="16" t="s">
        <v>918</v>
      </c>
      <c r="C46" s="17" t="s">
        <v>919</v>
      </c>
      <c r="D46" s="16" t="s">
        <v>1251</v>
      </c>
      <c r="E46" s="17" t="s">
        <v>1252</v>
      </c>
      <c r="F46" s="16">
        <v>841</v>
      </c>
      <c r="G46" s="16" t="s">
        <v>227</v>
      </c>
      <c r="H46" s="16" t="s">
        <v>945</v>
      </c>
      <c r="I46" s="18" t="s">
        <v>81</v>
      </c>
      <c r="J46" s="16" t="s">
        <v>1073</v>
      </c>
      <c r="K46" s="16" t="s">
        <v>1253</v>
      </c>
      <c r="L46" s="16" t="s">
        <v>925</v>
      </c>
      <c r="M46" s="16" t="s">
        <v>1254</v>
      </c>
      <c r="N46" s="16"/>
      <c r="O46" s="18" t="s">
        <v>1083</v>
      </c>
    </row>
    <row r="47" spans="1:15" ht="57" customHeight="1">
      <c r="A47" s="16" t="s">
        <v>851</v>
      </c>
      <c r="B47" s="16" t="s">
        <v>852</v>
      </c>
      <c r="C47" s="17" t="s">
        <v>853</v>
      </c>
      <c r="D47" s="16" t="s">
        <v>1255</v>
      </c>
      <c r="E47" s="17" t="s">
        <v>1256</v>
      </c>
      <c r="F47" s="16">
        <v>31</v>
      </c>
      <c r="G47" s="16" t="s">
        <v>204</v>
      </c>
      <c r="H47" s="16" t="s">
        <v>937</v>
      </c>
      <c r="I47" s="18" t="s">
        <v>81</v>
      </c>
      <c r="J47" s="16" t="s">
        <v>1062</v>
      </c>
      <c r="K47" s="16" t="s">
        <v>1257</v>
      </c>
      <c r="L47" s="16" t="s">
        <v>857</v>
      </c>
      <c r="M47" s="16" t="s">
        <v>1258</v>
      </c>
      <c r="N47" s="16"/>
      <c r="O47" s="18" t="s">
        <v>1083</v>
      </c>
    </row>
    <row r="48" spans="1:15" ht="57" customHeight="1">
      <c r="A48" s="16" t="s">
        <v>865</v>
      </c>
      <c r="B48" s="16" t="s">
        <v>866</v>
      </c>
      <c r="C48" s="17" t="s">
        <v>867</v>
      </c>
      <c r="D48" s="16" t="s">
        <v>1259</v>
      </c>
      <c r="E48" s="17" t="s">
        <v>1260</v>
      </c>
      <c r="F48" s="16">
        <v>176</v>
      </c>
      <c r="G48" s="16" t="s">
        <v>204</v>
      </c>
      <c r="H48" s="16" t="s">
        <v>945</v>
      </c>
      <c r="I48" s="18" t="s">
        <v>81</v>
      </c>
      <c r="J48" s="16" t="s">
        <v>1064</v>
      </c>
      <c r="K48" s="16" t="s">
        <v>1261</v>
      </c>
      <c r="L48" s="16" t="s">
        <v>871</v>
      </c>
      <c r="M48" s="16" t="s">
        <v>1262</v>
      </c>
      <c r="N48" s="16"/>
      <c r="O48" s="18" t="s">
        <v>1083</v>
      </c>
    </row>
    <row r="49" spans="1:15" ht="42.75" customHeight="1">
      <c r="A49" s="16" t="s">
        <v>865</v>
      </c>
      <c r="B49" s="16" t="s">
        <v>866</v>
      </c>
      <c r="C49" s="17" t="s">
        <v>867</v>
      </c>
      <c r="D49" s="16" t="s">
        <v>1263</v>
      </c>
      <c r="E49" s="17" t="s">
        <v>1264</v>
      </c>
      <c r="F49" s="16">
        <v>13</v>
      </c>
      <c r="G49" s="16" t="s">
        <v>204</v>
      </c>
      <c r="H49" s="16" t="s">
        <v>945</v>
      </c>
      <c r="I49" s="18" t="s">
        <v>81</v>
      </c>
      <c r="J49" s="16" t="s">
        <v>1064</v>
      </c>
      <c r="K49" s="16" t="s">
        <v>1265</v>
      </c>
      <c r="L49" s="16" t="s">
        <v>871</v>
      </c>
      <c r="M49" s="16" t="s">
        <v>1266</v>
      </c>
      <c r="N49" s="16"/>
      <c r="O49" s="16" t="s">
        <v>1095</v>
      </c>
    </row>
    <row r="50" spans="1:15" ht="42.75" customHeight="1">
      <c r="A50" s="16" t="s">
        <v>889</v>
      </c>
      <c r="B50" s="16" t="s">
        <v>890</v>
      </c>
      <c r="C50" s="17" t="s">
        <v>891</v>
      </c>
      <c r="D50" s="16" t="s">
        <v>1267</v>
      </c>
      <c r="E50" s="17" t="s">
        <v>1268</v>
      </c>
      <c r="F50" s="16">
        <v>27</v>
      </c>
      <c r="G50" s="16" t="s">
        <v>1269</v>
      </c>
      <c r="H50" s="16" t="s">
        <v>937</v>
      </c>
      <c r="I50" s="18" t="s">
        <v>81</v>
      </c>
      <c r="J50" s="16" t="s">
        <v>1069</v>
      </c>
      <c r="K50" s="16" t="s">
        <v>1270</v>
      </c>
      <c r="L50" s="16" t="s">
        <v>895</v>
      </c>
      <c r="M50" s="16" t="s">
        <v>1271</v>
      </c>
      <c r="N50" s="16"/>
      <c r="O50" s="16" t="s">
        <v>1095</v>
      </c>
    </row>
    <row r="51" spans="1:15" ht="42.75" customHeight="1">
      <c r="A51" s="16" t="s">
        <v>889</v>
      </c>
      <c r="B51" s="16" t="s">
        <v>890</v>
      </c>
      <c r="C51" s="17" t="s">
        <v>891</v>
      </c>
      <c r="D51" s="16" t="s">
        <v>1272</v>
      </c>
      <c r="E51" s="17" t="s">
        <v>1273</v>
      </c>
      <c r="F51" s="16">
        <v>36</v>
      </c>
      <c r="G51" s="16" t="s">
        <v>506</v>
      </c>
      <c r="H51" s="16" t="s">
        <v>937</v>
      </c>
      <c r="I51" s="18" t="s">
        <v>81</v>
      </c>
      <c r="J51" s="16" t="s">
        <v>1069</v>
      </c>
      <c r="K51" s="16" t="s">
        <v>1274</v>
      </c>
      <c r="L51" s="16" t="s">
        <v>895</v>
      </c>
      <c r="M51" s="16" t="s">
        <v>1275</v>
      </c>
      <c r="N51" s="16"/>
      <c r="O51" s="18" t="s">
        <v>1083</v>
      </c>
    </row>
    <row r="52" spans="1:15" ht="57" customHeight="1">
      <c r="A52" s="16" t="s">
        <v>413</v>
      </c>
      <c r="B52" s="16" t="s">
        <v>414</v>
      </c>
      <c r="C52" s="17" t="s">
        <v>415</v>
      </c>
      <c r="D52" s="16" t="s">
        <v>1276</v>
      </c>
      <c r="E52" s="17" t="s">
        <v>1117</v>
      </c>
      <c r="F52" s="16">
        <v>7</v>
      </c>
      <c r="G52" s="16" t="s">
        <v>204</v>
      </c>
      <c r="H52" s="16" t="s">
        <v>937</v>
      </c>
      <c r="I52" s="18" t="s">
        <v>81</v>
      </c>
      <c r="J52" s="16" t="s">
        <v>982</v>
      </c>
      <c r="K52" s="16" t="s">
        <v>1277</v>
      </c>
      <c r="L52" s="16" t="s">
        <v>421</v>
      </c>
      <c r="M52" s="16" t="s">
        <v>1278</v>
      </c>
      <c r="N52" s="16"/>
      <c r="O52" s="18" t="s">
        <v>1083</v>
      </c>
    </row>
    <row r="53" spans="1:15" ht="42.75" customHeight="1">
      <c r="A53" s="16" t="s">
        <v>413</v>
      </c>
      <c r="B53" s="16" t="s">
        <v>414</v>
      </c>
      <c r="C53" s="17" t="s">
        <v>415</v>
      </c>
      <c r="D53" s="16" t="s">
        <v>1279</v>
      </c>
      <c r="E53" s="17" t="s">
        <v>1280</v>
      </c>
      <c r="F53" s="16">
        <v>5</v>
      </c>
      <c r="G53" s="16" t="s">
        <v>204</v>
      </c>
      <c r="H53" s="16" t="s">
        <v>937</v>
      </c>
      <c r="I53" s="18" t="s">
        <v>81</v>
      </c>
      <c r="J53" s="16" t="s">
        <v>982</v>
      </c>
      <c r="K53" s="16" t="s">
        <v>1281</v>
      </c>
      <c r="L53" s="16" t="s">
        <v>421</v>
      </c>
      <c r="M53" s="16" t="s">
        <v>1282</v>
      </c>
      <c r="N53" s="16"/>
      <c r="O53" s="16" t="s">
        <v>1095</v>
      </c>
    </row>
    <row r="54" spans="1:15" ht="71.25" customHeight="1">
      <c r="A54" s="16" t="s">
        <v>423</v>
      </c>
      <c r="B54" s="16" t="s">
        <v>424</v>
      </c>
      <c r="C54" s="17" t="s">
        <v>425</v>
      </c>
      <c r="D54" s="16" t="s">
        <v>1283</v>
      </c>
      <c r="E54" s="17" t="s">
        <v>1284</v>
      </c>
      <c r="F54" s="16">
        <v>7</v>
      </c>
      <c r="G54" s="16" t="s">
        <v>279</v>
      </c>
      <c r="H54" s="16" t="s">
        <v>937</v>
      </c>
      <c r="I54" s="18" t="s">
        <v>81</v>
      </c>
      <c r="J54" s="16" t="s">
        <v>983</v>
      </c>
      <c r="K54" s="16" t="s">
        <v>1285</v>
      </c>
      <c r="L54" s="16" t="s">
        <v>434</v>
      </c>
      <c r="M54" s="16" t="s">
        <v>1286</v>
      </c>
      <c r="N54" s="17" t="s">
        <v>984</v>
      </c>
      <c r="O54" s="18" t="s">
        <v>1083</v>
      </c>
    </row>
    <row r="55" spans="1:15" ht="57" customHeight="1">
      <c r="A55" s="16" t="s">
        <v>391</v>
      </c>
      <c r="B55" s="16" t="s">
        <v>392</v>
      </c>
      <c r="C55" s="17" t="s">
        <v>393</v>
      </c>
      <c r="D55" s="16" t="s">
        <v>1287</v>
      </c>
      <c r="E55" s="17" t="s">
        <v>1097</v>
      </c>
      <c r="F55" s="16">
        <v>19</v>
      </c>
      <c r="G55" s="16" t="s">
        <v>279</v>
      </c>
      <c r="H55" s="16" t="s">
        <v>937</v>
      </c>
      <c r="I55" s="18" t="s">
        <v>81</v>
      </c>
      <c r="J55" s="16" t="s">
        <v>980</v>
      </c>
      <c r="K55" s="16" t="s">
        <v>1288</v>
      </c>
      <c r="L55" s="16" t="s">
        <v>399</v>
      </c>
      <c r="M55" s="16" t="s">
        <v>1289</v>
      </c>
      <c r="N55" s="16"/>
      <c r="O55" s="18" t="s">
        <v>1083</v>
      </c>
    </row>
    <row r="56" spans="1:15" ht="57" customHeight="1">
      <c r="A56" s="16" t="s">
        <v>401</v>
      </c>
      <c r="B56" s="16" t="s">
        <v>402</v>
      </c>
      <c r="C56" s="17" t="s">
        <v>403</v>
      </c>
      <c r="D56" s="16" t="s">
        <v>1290</v>
      </c>
      <c r="E56" s="17" t="s">
        <v>1291</v>
      </c>
      <c r="F56" s="16">
        <v>585</v>
      </c>
      <c r="G56" s="16" t="s">
        <v>227</v>
      </c>
      <c r="H56" s="16" t="s">
        <v>945</v>
      </c>
      <c r="I56" s="18" t="s">
        <v>81</v>
      </c>
      <c r="J56" s="16" t="s">
        <v>981</v>
      </c>
      <c r="K56" s="16" t="s">
        <v>1292</v>
      </c>
      <c r="L56" s="16" t="s">
        <v>411</v>
      </c>
      <c r="M56" s="16" t="s">
        <v>1293</v>
      </c>
      <c r="N56" s="16"/>
      <c r="O56" s="18" t="s">
        <v>1083</v>
      </c>
    </row>
    <row r="57" spans="1:15" ht="57" customHeight="1">
      <c r="A57" s="16" t="s">
        <v>881</v>
      </c>
      <c r="B57" s="16" t="s">
        <v>882</v>
      </c>
      <c r="C57" s="17" t="s">
        <v>883</v>
      </c>
      <c r="D57" s="16" t="s">
        <v>1294</v>
      </c>
      <c r="E57" s="17" t="s">
        <v>1295</v>
      </c>
      <c r="F57" s="16">
        <v>100</v>
      </c>
      <c r="G57" s="16" t="s">
        <v>326</v>
      </c>
      <c r="H57" s="16" t="s">
        <v>945</v>
      </c>
      <c r="I57" s="18" t="s">
        <v>81</v>
      </c>
      <c r="J57" s="16" t="s">
        <v>1067</v>
      </c>
      <c r="K57" s="16" t="s">
        <v>1296</v>
      </c>
      <c r="L57" s="16" t="s">
        <v>887</v>
      </c>
      <c r="M57" s="16" t="s">
        <v>1297</v>
      </c>
      <c r="N57" s="16" t="s">
        <v>1068</v>
      </c>
      <c r="O57" s="18" t="s">
        <v>1083</v>
      </c>
    </row>
    <row r="58" spans="1:15" ht="28.5" customHeight="1">
      <c r="A58" s="16" t="s">
        <v>858</v>
      </c>
      <c r="B58" s="16" t="s">
        <v>859</v>
      </c>
      <c r="C58" s="17" t="s">
        <v>860</v>
      </c>
      <c r="D58" s="16" t="s">
        <v>1298</v>
      </c>
      <c r="E58" s="17" t="s">
        <v>1299</v>
      </c>
      <c r="F58" s="16">
        <v>4</v>
      </c>
      <c r="G58" s="16" t="s">
        <v>204</v>
      </c>
      <c r="H58" s="16" t="s">
        <v>937</v>
      </c>
      <c r="I58" s="18" t="s">
        <v>81</v>
      </c>
      <c r="J58" s="16" t="s">
        <v>1063</v>
      </c>
      <c r="K58" s="16" t="s">
        <v>1300</v>
      </c>
      <c r="L58" s="16" t="s">
        <v>864</v>
      </c>
      <c r="M58" s="16" t="s">
        <v>1301</v>
      </c>
      <c r="N58" s="16"/>
      <c r="O58" s="18" t="s">
        <v>1083</v>
      </c>
    </row>
    <row r="59" spans="1:15" ht="28.5" customHeight="1">
      <c r="A59" s="16" t="s">
        <v>858</v>
      </c>
      <c r="B59" s="16" t="s">
        <v>859</v>
      </c>
      <c r="C59" s="17" t="s">
        <v>860</v>
      </c>
      <c r="D59" s="16" t="s">
        <v>1302</v>
      </c>
      <c r="E59" s="17" t="s">
        <v>1303</v>
      </c>
      <c r="F59" s="16">
        <v>5</v>
      </c>
      <c r="G59" s="16" t="s">
        <v>204</v>
      </c>
      <c r="H59" s="16" t="s">
        <v>937</v>
      </c>
      <c r="I59" s="18" t="s">
        <v>81</v>
      </c>
      <c r="J59" s="16" t="s">
        <v>1063</v>
      </c>
      <c r="K59" s="16" t="s">
        <v>1300</v>
      </c>
      <c r="L59" s="16" t="s">
        <v>864</v>
      </c>
      <c r="M59" s="16" t="s">
        <v>1304</v>
      </c>
      <c r="N59" s="16"/>
      <c r="O59" s="16" t="s">
        <v>1095</v>
      </c>
    </row>
    <row r="60" spans="1:15" ht="42.75" customHeight="1">
      <c r="A60" s="16" t="s">
        <v>320</v>
      </c>
      <c r="B60" s="16" t="s">
        <v>321</v>
      </c>
      <c r="C60" s="17" t="s">
        <v>322</v>
      </c>
      <c r="D60" s="16" t="s">
        <v>1305</v>
      </c>
      <c r="E60" s="17" t="s">
        <v>1117</v>
      </c>
      <c r="F60" s="16">
        <v>11</v>
      </c>
      <c r="G60" s="16" t="s">
        <v>279</v>
      </c>
      <c r="H60" s="16" t="s">
        <v>937</v>
      </c>
      <c r="I60" s="18" t="s">
        <v>81</v>
      </c>
      <c r="J60" s="16" t="s">
        <v>971</v>
      </c>
      <c r="K60" s="16" t="s">
        <v>1306</v>
      </c>
      <c r="L60" s="16" t="s">
        <v>328</v>
      </c>
      <c r="M60" s="16" t="s">
        <v>1307</v>
      </c>
      <c r="N60" s="16"/>
      <c r="O60" s="18" t="s">
        <v>1083</v>
      </c>
    </row>
    <row r="61" spans="1:15" ht="42.75" customHeight="1">
      <c r="A61" s="16" t="s">
        <v>320</v>
      </c>
      <c r="B61" s="16" t="s">
        <v>321</v>
      </c>
      <c r="C61" s="17" t="s">
        <v>322</v>
      </c>
      <c r="D61" s="16" t="s">
        <v>1308</v>
      </c>
      <c r="E61" s="17" t="s">
        <v>1309</v>
      </c>
      <c r="F61" s="16">
        <v>26</v>
      </c>
      <c r="G61" s="16" t="s">
        <v>204</v>
      </c>
      <c r="H61" s="16" t="s">
        <v>937</v>
      </c>
      <c r="I61" s="20" t="s">
        <v>102</v>
      </c>
      <c r="J61" s="16" t="s">
        <v>1310</v>
      </c>
      <c r="K61" s="16" t="s">
        <v>1311</v>
      </c>
      <c r="L61" s="16" t="s">
        <v>1312</v>
      </c>
      <c r="M61" s="16" t="s">
        <v>1313</v>
      </c>
      <c r="N61" s="16" t="s">
        <v>1314</v>
      </c>
      <c r="O61" s="16" t="s">
        <v>1095</v>
      </c>
    </row>
    <row r="62" spans="1:15" ht="99.75" customHeight="1">
      <c r="A62" s="16" t="s">
        <v>628</v>
      </c>
      <c r="B62" s="16" t="s">
        <v>629</v>
      </c>
      <c r="C62" s="17" t="s">
        <v>630</v>
      </c>
      <c r="D62" s="16" t="s">
        <v>1315</v>
      </c>
      <c r="E62" s="17" t="s">
        <v>1316</v>
      </c>
      <c r="F62" s="16">
        <v>2938</v>
      </c>
      <c r="G62" s="16" t="s">
        <v>101</v>
      </c>
      <c r="H62" s="16" t="s">
        <v>937</v>
      </c>
      <c r="I62" s="18" t="s">
        <v>81</v>
      </c>
      <c r="J62" s="16" t="s">
        <v>1017</v>
      </c>
      <c r="K62" s="16" t="s">
        <v>1317</v>
      </c>
      <c r="L62" s="16" t="s">
        <v>634</v>
      </c>
      <c r="M62" s="16" t="s">
        <v>1318</v>
      </c>
      <c r="N62" s="16" t="s">
        <v>1018</v>
      </c>
      <c r="O62" s="18" t="s">
        <v>1083</v>
      </c>
    </row>
    <row r="63" spans="1:15" ht="71.25" customHeight="1">
      <c r="A63" s="16" t="s">
        <v>628</v>
      </c>
      <c r="B63" s="16" t="s">
        <v>629</v>
      </c>
      <c r="C63" s="17" t="s">
        <v>630</v>
      </c>
      <c r="D63" s="16" t="s">
        <v>1319</v>
      </c>
      <c r="E63" s="17" t="s">
        <v>1320</v>
      </c>
      <c r="F63" s="16">
        <v>3047</v>
      </c>
      <c r="G63" s="16" t="s">
        <v>1321</v>
      </c>
      <c r="H63" s="16" t="s">
        <v>945</v>
      </c>
      <c r="I63" s="20" t="s">
        <v>102</v>
      </c>
      <c r="J63" s="16" t="s">
        <v>1322</v>
      </c>
      <c r="K63" s="16" t="s">
        <v>1323</v>
      </c>
      <c r="L63" s="16" t="s">
        <v>1324</v>
      </c>
      <c r="M63" s="16" t="s">
        <v>1325</v>
      </c>
      <c r="N63" s="16"/>
      <c r="O63" s="16" t="s">
        <v>1095</v>
      </c>
    </row>
    <row r="64" spans="1:15" ht="57" customHeight="1">
      <c r="A64" s="16" t="s">
        <v>638</v>
      </c>
      <c r="B64" s="16" t="s">
        <v>639</v>
      </c>
      <c r="C64" s="17" t="s">
        <v>640</v>
      </c>
      <c r="D64" s="16" t="s">
        <v>645</v>
      </c>
      <c r="E64" s="17" t="s">
        <v>1326</v>
      </c>
      <c r="F64" s="16">
        <v>1402</v>
      </c>
      <c r="G64" s="16" t="s">
        <v>492</v>
      </c>
      <c r="H64" s="16" t="s">
        <v>937</v>
      </c>
      <c r="I64" s="18" t="s">
        <v>81</v>
      </c>
      <c r="J64" s="16" t="s">
        <v>1019</v>
      </c>
      <c r="K64" s="16" t="s">
        <v>1327</v>
      </c>
      <c r="L64" s="16" t="s">
        <v>646</v>
      </c>
      <c r="M64" s="16" t="s">
        <v>1328</v>
      </c>
      <c r="N64" s="16" t="s">
        <v>1020</v>
      </c>
      <c r="O64" s="18" t="s">
        <v>1083</v>
      </c>
    </row>
    <row r="65" spans="1:15" ht="57" customHeight="1">
      <c r="A65" s="16" t="s">
        <v>638</v>
      </c>
      <c r="B65" s="16" t="s">
        <v>639</v>
      </c>
      <c r="C65" s="17" t="s">
        <v>640</v>
      </c>
      <c r="D65" s="16" t="s">
        <v>1329</v>
      </c>
      <c r="E65" s="17" t="s">
        <v>1330</v>
      </c>
      <c r="F65" s="16">
        <v>249</v>
      </c>
      <c r="G65" s="16" t="s">
        <v>492</v>
      </c>
      <c r="H65" s="16" t="s">
        <v>937</v>
      </c>
      <c r="I65" s="18" t="s">
        <v>81</v>
      </c>
      <c r="J65" s="16" t="s">
        <v>1019</v>
      </c>
      <c r="K65" s="16" t="s">
        <v>1327</v>
      </c>
      <c r="L65" s="16" t="s">
        <v>646</v>
      </c>
      <c r="M65" s="16" t="s">
        <v>1331</v>
      </c>
      <c r="N65" s="16"/>
      <c r="O65" s="16" t="s">
        <v>1095</v>
      </c>
    </row>
    <row r="66" spans="1:15" ht="57" customHeight="1">
      <c r="A66" s="16" t="s">
        <v>648</v>
      </c>
      <c r="B66" s="16" t="s">
        <v>649</v>
      </c>
      <c r="C66" s="17" t="s">
        <v>650</v>
      </c>
      <c r="D66" s="16" t="s">
        <v>1332</v>
      </c>
      <c r="E66" s="17" t="s">
        <v>1333</v>
      </c>
      <c r="F66" s="16">
        <v>65</v>
      </c>
      <c r="G66" s="16" t="s">
        <v>230</v>
      </c>
      <c r="H66" s="16" t="s">
        <v>937</v>
      </c>
      <c r="I66" s="18" t="s">
        <v>81</v>
      </c>
      <c r="J66" s="16" t="s">
        <v>1021</v>
      </c>
      <c r="K66" s="16" t="s">
        <v>1334</v>
      </c>
      <c r="L66" s="16" t="s">
        <v>654</v>
      </c>
      <c r="M66" s="16" t="s">
        <v>1335</v>
      </c>
      <c r="N66" s="17" t="s">
        <v>1022</v>
      </c>
      <c r="O66" s="18" t="s">
        <v>1083</v>
      </c>
    </row>
    <row r="67" spans="1:15" ht="71.25" customHeight="1">
      <c r="A67" s="16" t="s">
        <v>648</v>
      </c>
      <c r="B67" s="16" t="s">
        <v>649</v>
      </c>
      <c r="C67" s="17" t="s">
        <v>650</v>
      </c>
      <c r="D67" s="16" t="s">
        <v>491</v>
      </c>
      <c r="E67" s="17" t="s">
        <v>1336</v>
      </c>
      <c r="F67" s="16">
        <v>434</v>
      </c>
      <c r="G67" s="16" t="s">
        <v>230</v>
      </c>
      <c r="H67" s="16" t="s">
        <v>937</v>
      </c>
      <c r="I67" s="18" t="s">
        <v>81</v>
      </c>
      <c r="J67" s="16" t="s">
        <v>1021</v>
      </c>
      <c r="K67" s="16" t="s">
        <v>1334</v>
      </c>
      <c r="L67" s="16" t="s">
        <v>654</v>
      </c>
      <c r="M67" s="16" t="s">
        <v>1337</v>
      </c>
      <c r="N67" s="17" t="s">
        <v>1338</v>
      </c>
      <c r="O67" s="16" t="s">
        <v>1095</v>
      </c>
    </row>
    <row r="68" spans="1:15" ht="57" customHeight="1">
      <c r="A68" s="16" t="s">
        <v>657</v>
      </c>
      <c r="B68" s="16" t="s">
        <v>658</v>
      </c>
      <c r="C68" s="17" t="s">
        <v>659</v>
      </c>
      <c r="D68" s="16" t="s">
        <v>664</v>
      </c>
      <c r="E68" s="17" t="s">
        <v>1204</v>
      </c>
      <c r="F68" s="16">
        <v>59</v>
      </c>
      <c r="G68" s="16" t="s">
        <v>123</v>
      </c>
      <c r="H68" s="16" t="s">
        <v>937</v>
      </c>
      <c r="I68" s="18" t="s">
        <v>81</v>
      </c>
      <c r="J68" s="16" t="s">
        <v>1023</v>
      </c>
      <c r="K68" s="16" t="s">
        <v>1339</v>
      </c>
      <c r="L68" s="16" t="s">
        <v>663</v>
      </c>
      <c r="M68" s="16" t="s">
        <v>1340</v>
      </c>
      <c r="N68" s="16" t="s">
        <v>1024</v>
      </c>
      <c r="O68" s="18" t="s">
        <v>1083</v>
      </c>
    </row>
    <row r="69" spans="1:15" ht="57" customHeight="1">
      <c r="A69" s="16" t="s">
        <v>771</v>
      </c>
      <c r="B69" s="16" t="s">
        <v>772</v>
      </c>
      <c r="C69" s="17" t="s">
        <v>773</v>
      </c>
      <c r="D69" s="16" t="s">
        <v>1341</v>
      </c>
      <c r="E69" s="17" t="s">
        <v>1342</v>
      </c>
      <c r="F69" s="16">
        <v>53</v>
      </c>
      <c r="G69" s="16" t="s">
        <v>110</v>
      </c>
      <c r="H69" s="16" t="s">
        <v>937</v>
      </c>
      <c r="I69" s="18" t="s">
        <v>81</v>
      </c>
      <c r="J69" s="16" t="s">
        <v>1025</v>
      </c>
      <c r="K69" s="16" t="s">
        <v>1343</v>
      </c>
      <c r="L69" s="16" t="s">
        <v>672</v>
      </c>
      <c r="M69" s="16" t="s">
        <v>1344</v>
      </c>
      <c r="N69" s="17" t="s">
        <v>1045</v>
      </c>
      <c r="O69" s="18" t="s">
        <v>1083</v>
      </c>
    </row>
    <row r="70" spans="1:15" ht="57" customHeight="1">
      <c r="A70" s="16" t="s">
        <v>774</v>
      </c>
      <c r="B70" s="16" t="s">
        <v>775</v>
      </c>
      <c r="C70" s="17" t="s">
        <v>776</v>
      </c>
      <c r="D70" s="16" t="s">
        <v>1341</v>
      </c>
      <c r="E70" s="17" t="s">
        <v>1342</v>
      </c>
      <c r="F70" s="16">
        <v>73</v>
      </c>
      <c r="G70" s="16" t="s">
        <v>110</v>
      </c>
      <c r="H70" s="16" t="s">
        <v>937</v>
      </c>
      <c r="I70" s="18" t="s">
        <v>81</v>
      </c>
      <c r="J70" s="16" t="s">
        <v>1025</v>
      </c>
      <c r="K70" s="16" t="s">
        <v>1343</v>
      </c>
      <c r="L70" s="16" t="s">
        <v>672</v>
      </c>
      <c r="M70" s="16" t="s">
        <v>1345</v>
      </c>
      <c r="N70" s="16"/>
      <c r="O70" s="18" t="s">
        <v>1083</v>
      </c>
    </row>
    <row r="71" spans="1:15" ht="57" customHeight="1">
      <c r="A71" s="16" t="s">
        <v>666</v>
      </c>
      <c r="B71" s="16" t="s">
        <v>667</v>
      </c>
      <c r="C71" s="17" t="s">
        <v>668</v>
      </c>
      <c r="D71" s="16" t="s">
        <v>1341</v>
      </c>
      <c r="E71" s="17" t="s">
        <v>1342</v>
      </c>
      <c r="F71" s="16">
        <v>48</v>
      </c>
      <c r="G71" s="16" t="s">
        <v>110</v>
      </c>
      <c r="H71" s="16" t="s">
        <v>937</v>
      </c>
      <c r="I71" s="18" t="s">
        <v>81</v>
      </c>
      <c r="J71" s="16" t="s">
        <v>1025</v>
      </c>
      <c r="K71" s="16" t="s">
        <v>1343</v>
      </c>
      <c r="L71" s="16" t="s">
        <v>672</v>
      </c>
      <c r="M71" s="16" t="s">
        <v>1346</v>
      </c>
      <c r="N71" s="16"/>
      <c r="O71" s="18" t="s">
        <v>1083</v>
      </c>
    </row>
    <row r="72" spans="1:15" ht="57" customHeight="1">
      <c r="A72" s="16" t="s">
        <v>777</v>
      </c>
      <c r="B72" s="16" t="s">
        <v>778</v>
      </c>
      <c r="C72" s="17" t="s">
        <v>779</v>
      </c>
      <c r="D72" s="16" t="s">
        <v>1341</v>
      </c>
      <c r="E72" s="17" t="s">
        <v>1342</v>
      </c>
      <c r="F72" s="16">
        <v>116</v>
      </c>
      <c r="G72" s="16" t="s">
        <v>110</v>
      </c>
      <c r="H72" s="16" t="s">
        <v>937</v>
      </c>
      <c r="I72" s="18" t="s">
        <v>81</v>
      </c>
      <c r="J72" s="16" t="s">
        <v>1025</v>
      </c>
      <c r="K72" s="16" t="s">
        <v>1343</v>
      </c>
      <c r="L72" s="16" t="s">
        <v>672</v>
      </c>
      <c r="M72" s="16" t="s">
        <v>1347</v>
      </c>
      <c r="N72" s="16"/>
      <c r="O72" s="18" t="s">
        <v>1083</v>
      </c>
    </row>
    <row r="73" spans="1:15" ht="57" customHeight="1">
      <c r="A73" s="16" t="s">
        <v>676</v>
      </c>
      <c r="B73" s="16" t="s">
        <v>677</v>
      </c>
      <c r="C73" s="17" t="s">
        <v>678</v>
      </c>
      <c r="D73" s="16" t="s">
        <v>1341</v>
      </c>
      <c r="E73" s="17" t="s">
        <v>1342</v>
      </c>
      <c r="F73" s="16">
        <v>128</v>
      </c>
      <c r="G73" s="16" t="s">
        <v>110</v>
      </c>
      <c r="H73" s="16" t="s">
        <v>937</v>
      </c>
      <c r="I73" s="18" t="s">
        <v>81</v>
      </c>
      <c r="J73" s="16" t="s">
        <v>1025</v>
      </c>
      <c r="K73" s="16" t="s">
        <v>1343</v>
      </c>
      <c r="L73" s="16" t="s">
        <v>672</v>
      </c>
      <c r="M73" s="16" t="s">
        <v>1348</v>
      </c>
      <c r="N73" s="16" t="s">
        <v>1026</v>
      </c>
      <c r="O73" s="18" t="s">
        <v>1083</v>
      </c>
    </row>
    <row r="74" spans="1:15" ht="57" customHeight="1">
      <c r="A74" s="16" t="s">
        <v>679</v>
      </c>
      <c r="B74" s="16" t="s">
        <v>680</v>
      </c>
      <c r="C74" s="17" t="s">
        <v>681</v>
      </c>
      <c r="D74" s="16" t="s">
        <v>1349</v>
      </c>
      <c r="E74" s="17" t="s">
        <v>1350</v>
      </c>
      <c r="F74" s="16">
        <v>385</v>
      </c>
      <c r="G74" s="16" t="s">
        <v>204</v>
      </c>
      <c r="H74" s="16" t="s">
        <v>937</v>
      </c>
      <c r="I74" s="18" t="s">
        <v>81</v>
      </c>
      <c r="J74" s="16" t="s">
        <v>1027</v>
      </c>
      <c r="K74" s="16" t="s">
        <v>1351</v>
      </c>
      <c r="L74" s="16" t="s">
        <v>686</v>
      </c>
      <c r="M74" s="16" t="s">
        <v>1352</v>
      </c>
      <c r="N74" s="16" t="s">
        <v>1028</v>
      </c>
      <c r="O74" s="18" t="s">
        <v>1083</v>
      </c>
    </row>
    <row r="75" spans="1:15" ht="57" customHeight="1">
      <c r="A75" s="16" t="s">
        <v>787</v>
      </c>
      <c r="B75" s="16" t="s">
        <v>788</v>
      </c>
      <c r="C75" s="17" t="s">
        <v>789</v>
      </c>
      <c r="D75" s="16" t="s">
        <v>1353</v>
      </c>
      <c r="E75" s="17" t="s">
        <v>1204</v>
      </c>
      <c r="F75" s="16">
        <v>18</v>
      </c>
      <c r="G75" s="16" t="s">
        <v>539</v>
      </c>
      <c r="H75" s="16" t="s">
        <v>937</v>
      </c>
      <c r="I75" s="18" t="s">
        <v>81</v>
      </c>
      <c r="J75" s="16" t="s">
        <v>1047</v>
      </c>
      <c r="K75" s="16" t="s">
        <v>1354</v>
      </c>
      <c r="L75" s="16" t="s">
        <v>685</v>
      </c>
      <c r="M75" s="16" t="s">
        <v>1355</v>
      </c>
      <c r="N75" s="16"/>
      <c r="O75" s="18" t="s">
        <v>1083</v>
      </c>
    </row>
    <row r="76" spans="1:15" ht="42.75" customHeight="1">
      <c r="A76" s="16" t="s">
        <v>688</v>
      </c>
      <c r="B76" s="16" t="s">
        <v>689</v>
      </c>
      <c r="C76" s="17" t="s">
        <v>690</v>
      </c>
      <c r="D76" s="16" t="s">
        <v>1356</v>
      </c>
      <c r="E76" s="17" t="s">
        <v>1357</v>
      </c>
      <c r="F76" s="16">
        <v>21</v>
      </c>
      <c r="G76" s="16" t="s">
        <v>696</v>
      </c>
      <c r="H76" s="16" t="s">
        <v>940</v>
      </c>
      <c r="I76" s="20" t="s">
        <v>102</v>
      </c>
      <c r="J76" s="16" t="s">
        <v>1029</v>
      </c>
      <c r="K76" s="16" t="s">
        <v>1358</v>
      </c>
      <c r="L76" s="16" t="s">
        <v>697</v>
      </c>
      <c r="M76" s="16" t="s">
        <v>1359</v>
      </c>
      <c r="N76" s="17" t="s">
        <v>1030</v>
      </c>
      <c r="O76" s="18" t="s">
        <v>1083</v>
      </c>
    </row>
    <row r="77" spans="1:15" ht="42.75" customHeight="1">
      <c r="A77" s="16" t="s">
        <v>699</v>
      </c>
      <c r="B77" s="16" t="s">
        <v>700</v>
      </c>
      <c r="C77" s="17" t="s">
        <v>701</v>
      </c>
      <c r="D77" s="16" t="s">
        <v>1360</v>
      </c>
      <c r="E77" s="17" t="s">
        <v>1264</v>
      </c>
      <c r="F77" s="16">
        <v>3427</v>
      </c>
      <c r="G77" s="16" t="s">
        <v>707</v>
      </c>
      <c r="H77" s="16" t="s">
        <v>937</v>
      </c>
      <c r="I77" s="18" t="s">
        <v>81</v>
      </c>
      <c r="J77" s="16" t="s">
        <v>1031</v>
      </c>
      <c r="K77" s="16" t="s">
        <v>1361</v>
      </c>
      <c r="L77" s="16" t="s">
        <v>708</v>
      </c>
      <c r="M77" s="16" t="s">
        <v>1362</v>
      </c>
      <c r="N77" s="17" t="s">
        <v>1032</v>
      </c>
      <c r="O77" s="18" t="s">
        <v>1083</v>
      </c>
    </row>
    <row r="78" spans="1:15" ht="57" customHeight="1">
      <c r="A78" s="16" t="s">
        <v>710</v>
      </c>
      <c r="B78" s="16" t="s">
        <v>711</v>
      </c>
      <c r="C78" s="17" t="s">
        <v>712</v>
      </c>
      <c r="D78" s="16" t="s">
        <v>1363</v>
      </c>
      <c r="E78" s="17" t="s">
        <v>1364</v>
      </c>
      <c r="F78" s="16">
        <v>26</v>
      </c>
      <c r="G78" s="16" t="s">
        <v>230</v>
      </c>
      <c r="H78" s="16" t="s">
        <v>937</v>
      </c>
      <c r="I78" s="18" t="s">
        <v>81</v>
      </c>
      <c r="J78" s="16" t="s">
        <v>1033</v>
      </c>
      <c r="K78" s="16" t="s">
        <v>1365</v>
      </c>
      <c r="L78" s="16" t="s">
        <v>719</v>
      </c>
      <c r="M78" s="16" t="s">
        <v>1366</v>
      </c>
      <c r="N78" s="16"/>
      <c r="O78" s="18" t="s">
        <v>1083</v>
      </c>
    </row>
    <row r="79" spans="1:15" ht="57" customHeight="1">
      <c r="A79" s="16" t="s">
        <v>721</v>
      </c>
      <c r="B79" s="16" t="s">
        <v>722</v>
      </c>
      <c r="C79" s="17" t="s">
        <v>723</v>
      </c>
      <c r="D79" s="16" t="s">
        <v>728</v>
      </c>
      <c r="E79" s="17" t="s">
        <v>1367</v>
      </c>
      <c r="F79" s="16">
        <v>268</v>
      </c>
      <c r="G79" s="16" t="s">
        <v>326</v>
      </c>
      <c r="H79" s="16" t="s">
        <v>937</v>
      </c>
      <c r="I79" s="18" t="s">
        <v>81</v>
      </c>
      <c r="J79" s="16" t="s">
        <v>1034</v>
      </c>
      <c r="K79" s="16" t="s">
        <v>1368</v>
      </c>
      <c r="L79" s="16" t="s">
        <v>729</v>
      </c>
      <c r="M79" s="16" t="s">
        <v>1369</v>
      </c>
      <c r="N79" s="16"/>
      <c r="O79" s="18" t="s">
        <v>1083</v>
      </c>
    </row>
    <row r="80" spans="1:15" ht="42.75" customHeight="1">
      <c r="A80" s="16" t="s">
        <v>731</v>
      </c>
      <c r="B80" s="16" t="s">
        <v>39</v>
      </c>
      <c r="C80" s="17" t="s">
        <v>732</v>
      </c>
      <c r="D80" s="16" t="s">
        <v>748</v>
      </c>
      <c r="E80" s="17" t="s">
        <v>1370</v>
      </c>
      <c r="F80" s="16">
        <v>282</v>
      </c>
      <c r="G80" s="16" t="s">
        <v>539</v>
      </c>
      <c r="H80" s="16" t="s">
        <v>937</v>
      </c>
      <c r="I80" s="18" t="s">
        <v>81</v>
      </c>
      <c r="J80" s="16" t="s">
        <v>1036</v>
      </c>
      <c r="K80" s="16" t="s">
        <v>1365</v>
      </c>
      <c r="L80" s="16" t="s">
        <v>739</v>
      </c>
      <c r="M80" s="16" t="s">
        <v>1371</v>
      </c>
      <c r="N80" s="16" t="s">
        <v>1372</v>
      </c>
      <c r="O80" s="18" t="s">
        <v>1095</v>
      </c>
    </row>
    <row r="81" spans="1:15" ht="42.75" customHeight="1">
      <c r="A81" s="16" t="s">
        <v>731</v>
      </c>
      <c r="B81" s="16" t="s">
        <v>39</v>
      </c>
      <c r="C81" s="17" t="s">
        <v>732</v>
      </c>
      <c r="D81" s="16" t="s">
        <v>1373</v>
      </c>
      <c r="E81" s="17" t="s">
        <v>1374</v>
      </c>
      <c r="F81" s="16">
        <v>407</v>
      </c>
      <c r="G81" s="16" t="s">
        <v>738</v>
      </c>
      <c r="H81" s="16" t="s">
        <v>937</v>
      </c>
      <c r="I81" s="18" t="s">
        <v>81</v>
      </c>
      <c r="J81" s="16" t="s">
        <v>1036</v>
      </c>
      <c r="K81" s="16" t="s">
        <v>1365</v>
      </c>
      <c r="L81" s="16" t="s">
        <v>739</v>
      </c>
      <c r="M81" s="16" t="s">
        <v>1375</v>
      </c>
      <c r="N81" s="16" t="s">
        <v>1376</v>
      </c>
      <c r="O81" s="16" t="s">
        <v>1083</v>
      </c>
    </row>
    <row r="82" spans="1:15" ht="57" customHeight="1">
      <c r="A82" s="16" t="s">
        <v>741</v>
      </c>
      <c r="B82" s="16" t="s">
        <v>742</v>
      </c>
      <c r="C82" s="17" t="s">
        <v>743</v>
      </c>
      <c r="D82" s="16" t="s">
        <v>1377</v>
      </c>
      <c r="E82" s="17" t="s">
        <v>1370</v>
      </c>
      <c r="F82" s="16">
        <v>958</v>
      </c>
      <c r="G82" s="16" t="s">
        <v>749</v>
      </c>
      <c r="H82" s="16" t="s">
        <v>1038</v>
      </c>
      <c r="I82" s="20" t="s">
        <v>102</v>
      </c>
      <c r="J82" s="16" t="s">
        <v>1039</v>
      </c>
      <c r="K82" s="16" t="s">
        <v>1378</v>
      </c>
      <c r="L82" s="16" t="s">
        <v>747</v>
      </c>
      <c r="M82" s="16" t="s">
        <v>1379</v>
      </c>
      <c r="N82" s="17" t="s">
        <v>1040</v>
      </c>
      <c r="O82" s="18" t="s">
        <v>1083</v>
      </c>
    </row>
    <row r="83" spans="1:15" ht="57" customHeight="1">
      <c r="A83" s="16" t="s">
        <v>751</v>
      </c>
      <c r="B83" s="16" t="s">
        <v>752</v>
      </c>
      <c r="C83" s="17" t="s">
        <v>753</v>
      </c>
      <c r="D83" s="16" t="s">
        <v>1380</v>
      </c>
      <c r="E83" s="17" t="s">
        <v>1381</v>
      </c>
      <c r="F83" s="16">
        <v>6</v>
      </c>
      <c r="G83" s="16" t="s">
        <v>123</v>
      </c>
      <c r="H83" s="16" t="s">
        <v>937</v>
      </c>
      <c r="I83" s="18" t="s">
        <v>81</v>
      </c>
      <c r="J83" s="16" t="s">
        <v>1041</v>
      </c>
      <c r="K83" s="16" t="s">
        <v>1382</v>
      </c>
      <c r="L83" s="16" t="s">
        <v>760</v>
      </c>
      <c r="M83" s="16" t="s">
        <v>1383</v>
      </c>
      <c r="N83" s="17" t="s">
        <v>1042</v>
      </c>
      <c r="O83" s="18" t="s">
        <v>1083</v>
      </c>
    </row>
    <row r="84" spans="1:15" ht="57" customHeight="1">
      <c r="A84" s="16" t="s">
        <v>762</v>
      </c>
      <c r="B84" s="16" t="s">
        <v>763</v>
      </c>
      <c r="C84" s="17" t="s">
        <v>764</v>
      </c>
      <c r="D84" s="16" t="s">
        <v>1203</v>
      </c>
      <c r="E84" s="17" t="s">
        <v>1204</v>
      </c>
      <c r="F84" s="16">
        <v>16</v>
      </c>
      <c r="G84" s="16" t="s">
        <v>768</v>
      </c>
      <c r="H84" s="16" t="s">
        <v>937</v>
      </c>
      <c r="I84" s="20" t="s">
        <v>102</v>
      </c>
      <c r="J84" s="16" t="s">
        <v>1043</v>
      </c>
      <c r="K84" s="16" t="s">
        <v>1384</v>
      </c>
      <c r="L84" s="16" t="s">
        <v>769</v>
      </c>
      <c r="M84" s="16" t="s">
        <v>1385</v>
      </c>
      <c r="N84" s="16" t="s">
        <v>1044</v>
      </c>
      <c r="O84" s="18" t="s">
        <v>1083</v>
      </c>
    </row>
    <row r="85" spans="1:15" ht="57" customHeight="1">
      <c r="A85" s="16" t="s">
        <v>780</v>
      </c>
      <c r="B85" s="16" t="s">
        <v>781</v>
      </c>
      <c r="C85" s="17" t="s">
        <v>782</v>
      </c>
      <c r="D85" s="16" t="s">
        <v>1386</v>
      </c>
      <c r="E85" s="17" t="s">
        <v>1350</v>
      </c>
      <c r="F85" s="16">
        <v>116</v>
      </c>
      <c r="G85" s="16" t="s">
        <v>101</v>
      </c>
      <c r="H85" s="16" t="s">
        <v>937</v>
      </c>
      <c r="I85" s="20" t="s">
        <v>102</v>
      </c>
      <c r="J85" s="16" t="s">
        <v>1046</v>
      </c>
      <c r="K85" s="16" t="s">
        <v>1387</v>
      </c>
      <c r="L85" s="16" t="s">
        <v>785</v>
      </c>
      <c r="M85" s="16" t="s">
        <v>1388</v>
      </c>
      <c r="N85" s="16"/>
      <c r="O85" s="18" t="s">
        <v>1083</v>
      </c>
    </row>
    <row r="86" spans="1:15" ht="57" customHeight="1">
      <c r="A86" s="16" t="s">
        <v>308</v>
      </c>
      <c r="B86" s="16" t="s">
        <v>309</v>
      </c>
      <c r="C86" s="17" t="s">
        <v>310</v>
      </c>
      <c r="D86" s="16" t="s">
        <v>1389</v>
      </c>
      <c r="E86" s="17" t="s">
        <v>1390</v>
      </c>
      <c r="F86" s="16">
        <v>785</v>
      </c>
      <c r="G86" s="16" t="s">
        <v>317</v>
      </c>
      <c r="H86" s="16" t="s">
        <v>945</v>
      </c>
      <c r="I86" s="20" t="s">
        <v>102</v>
      </c>
      <c r="J86" s="16" t="s">
        <v>969</v>
      </c>
      <c r="K86" s="16" t="s">
        <v>1391</v>
      </c>
      <c r="L86" s="16" t="s">
        <v>968</v>
      </c>
      <c r="M86" s="16" t="s">
        <v>1392</v>
      </c>
      <c r="N86" s="17" t="s">
        <v>1393</v>
      </c>
      <c r="O86" s="18" t="s">
        <v>1083</v>
      </c>
    </row>
    <row r="87" spans="1:15" ht="99.75" customHeight="1">
      <c r="A87" s="16" t="s">
        <v>458</v>
      </c>
      <c r="B87" s="16" t="s">
        <v>459</v>
      </c>
      <c r="C87" s="17" t="s">
        <v>460</v>
      </c>
      <c r="D87" s="16" t="s">
        <v>1394</v>
      </c>
      <c r="E87" s="17" t="s">
        <v>1395</v>
      </c>
      <c r="F87" s="16">
        <v>8</v>
      </c>
      <c r="G87" s="16" t="s">
        <v>463</v>
      </c>
      <c r="H87" s="16" t="s">
        <v>937</v>
      </c>
      <c r="I87" s="18" t="s">
        <v>81</v>
      </c>
      <c r="J87" s="16" t="s">
        <v>989</v>
      </c>
      <c r="K87" s="16" t="s">
        <v>1396</v>
      </c>
      <c r="L87" s="16" t="s">
        <v>464</v>
      </c>
      <c r="M87" s="16" t="s">
        <v>1397</v>
      </c>
      <c r="N87" s="16" t="s">
        <v>990</v>
      </c>
      <c r="O87" s="18" t="s">
        <v>1083</v>
      </c>
    </row>
    <row r="88" spans="1:15" ht="42.75" customHeight="1">
      <c r="A88" s="16" t="s">
        <v>467</v>
      </c>
      <c r="B88" s="16" t="s">
        <v>468</v>
      </c>
      <c r="C88" s="17" t="s">
        <v>469</v>
      </c>
      <c r="D88" s="16" t="s">
        <v>1398</v>
      </c>
      <c r="E88" s="17" t="s">
        <v>1399</v>
      </c>
      <c r="F88" s="16">
        <v>8</v>
      </c>
      <c r="G88" s="16" t="s">
        <v>326</v>
      </c>
      <c r="H88" s="16" t="s">
        <v>937</v>
      </c>
      <c r="I88" s="18" t="s">
        <v>81</v>
      </c>
      <c r="J88" s="16" t="s">
        <v>991</v>
      </c>
      <c r="K88" s="16" t="s">
        <v>1400</v>
      </c>
      <c r="L88" s="16" t="s">
        <v>475</v>
      </c>
      <c r="M88" s="16" t="s">
        <v>1401</v>
      </c>
      <c r="N88" s="16"/>
      <c r="O88" s="18" t="s">
        <v>1083</v>
      </c>
    </row>
    <row r="89" spans="1:15" ht="42.75" customHeight="1">
      <c r="A89" s="16" t="s">
        <v>467</v>
      </c>
      <c r="B89" s="16" t="s">
        <v>468</v>
      </c>
      <c r="C89" s="17" t="s">
        <v>469</v>
      </c>
      <c r="D89" s="16" t="s">
        <v>1402</v>
      </c>
      <c r="E89" s="17" t="s">
        <v>1403</v>
      </c>
      <c r="F89" s="16">
        <v>18</v>
      </c>
      <c r="G89" s="16" t="s">
        <v>326</v>
      </c>
      <c r="H89" s="16" t="s">
        <v>937</v>
      </c>
      <c r="I89" s="18" t="s">
        <v>81</v>
      </c>
      <c r="J89" s="16" t="s">
        <v>991</v>
      </c>
      <c r="K89" s="16" t="s">
        <v>1404</v>
      </c>
      <c r="L89" s="16" t="s">
        <v>475</v>
      </c>
      <c r="M89" s="16" t="s">
        <v>1405</v>
      </c>
      <c r="N89" s="17" t="s">
        <v>1406</v>
      </c>
      <c r="O89" s="16" t="s">
        <v>1095</v>
      </c>
    </row>
    <row r="90" spans="1:15" ht="71.25" customHeight="1">
      <c r="A90" s="16" t="s">
        <v>564</v>
      </c>
      <c r="B90" s="16" t="s">
        <v>565</v>
      </c>
      <c r="C90" s="17" t="s">
        <v>566</v>
      </c>
      <c r="D90" s="16" t="s">
        <v>571</v>
      </c>
      <c r="E90" s="17" t="s">
        <v>1407</v>
      </c>
      <c r="F90" s="16">
        <v>13</v>
      </c>
      <c r="G90" s="16" t="s">
        <v>279</v>
      </c>
      <c r="H90" s="16" t="s">
        <v>937</v>
      </c>
      <c r="I90" s="18" t="s">
        <v>81</v>
      </c>
      <c r="J90" s="16" t="s">
        <v>1004</v>
      </c>
      <c r="K90" s="28" t="s">
        <v>1408</v>
      </c>
      <c r="L90" s="16" t="s">
        <v>572</v>
      </c>
      <c r="M90" s="16" t="s">
        <v>1409</v>
      </c>
      <c r="N90" s="17" t="s">
        <v>1005</v>
      </c>
      <c r="O90" s="18" t="s">
        <v>1083</v>
      </c>
    </row>
    <row r="91" spans="1:15" ht="85.5" customHeight="1">
      <c r="A91" s="16" t="s">
        <v>564</v>
      </c>
      <c r="B91" s="16" t="s">
        <v>565</v>
      </c>
      <c r="C91" s="17" t="s">
        <v>566</v>
      </c>
      <c r="D91" s="16" t="s">
        <v>1410</v>
      </c>
      <c r="E91" s="17" t="s">
        <v>1411</v>
      </c>
      <c r="F91" s="16">
        <v>7</v>
      </c>
      <c r="G91" s="16" t="s">
        <v>279</v>
      </c>
      <c r="H91" s="16" t="s">
        <v>1038</v>
      </c>
      <c r="I91" s="18" t="s">
        <v>81</v>
      </c>
      <c r="J91" s="16" t="s">
        <v>1004</v>
      </c>
      <c r="K91" s="28" t="s">
        <v>1412</v>
      </c>
      <c r="L91" s="16" t="s">
        <v>1413</v>
      </c>
      <c r="M91" s="16" t="s">
        <v>1414</v>
      </c>
      <c r="N91" s="16"/>
      <c r="O91" s="16" t="s">
        <v>1095</v>
      </c>
    </row>
    <row r="92" spans="1:15" ht="57" customHeight="1">
      <c r="A92" s="16" t="s">
        <v>597</v>
      </c>
      <c r="B92" s="16" t="s">
        <v>598</v>
      </c>
      <c r="C92" s="17" t="s">
        <v>599</v>
      </c>
      <c r="D92" s="16" t="s">
        <v>602</v>
      </c>
      <c r="E92" s="17" t="s">
        <v>1415</v>
      </c>
      <c r="F92" s="16">
        <v>9</v>
      </c>
      <c r="G92" s="16" t="s">
        <v>326</v>
      </c>
      <c r="H92" s="16" t="s">
        <v>937</v>
      </c>
      <c r="I92" s="20" t="s">
        <v>102</v>
      </c>
      <c r="J92" s="16" t="s">
        <v>1012</v>
      </c>
      <c r="K92" s="16" t="s">
        <v>1416</v>
      </c>
      <c r="L92" s="16" t="s">
        <v>603</v>
      </c>
      <c r="M92" s="16" t="s">
        <v>1417</v>
      </c>
      <c r="N92" s="16"/>
      <c r="O92" s="18" t="s">
        <v>1083</v>
      </c>
    </row>
    <row r="93" spans="1:15" ht="71.25" customHeight="1">
      <c r="A93" s="16" t="s">
        <v>616</v>
      </c>
      <c r="B93" s="16" t="s">
        <v>617</v>
      </c>
      <c r="C93" s="17" t="s">
        <v>618</v>
      </c>
      <c r="D93" s="16" t="s">
        <v>622</v>
      </c>
      <c r="E93" s="17" t="s">
        <v>1418</v>
      </c>
      <c r="F93" s="16">
        <v>13</v>
      </c>
      <c r="G93" s="16" t="s">
        <v>279</v>
      </c>
      <c r="H93" s="16" t="s">
        <v>937</v>
      </c>
      <c r="I93" s="18" t="s">
        <v>81</v>
      </c>
      <c r="J93" s="16" t="s">
        <v>1015</v>
      </c>
      <c r="K93" s="28" t="s">
        <v>1419</v>
      </c>
      <c r="L93" s="16" t="s">
        <v>623</v>
      </c>
      <c r="M93" s="16" t="s">
        <v>1420</v>
      </c>
      <c r="N93" s="17" t="s">
        <v>1016</v>
      </c>
      <c r="O93" s="18" t="s">
        <v>1083</v>
      </c>
    </row>
    <row r="94" spans="1:15" ht="71.25" customHeight="1">
      <c r="A94" s="16" t="s">
        <v>485</v>
      </c>
      <c r="B94" s="16" t="s">
        <v>486</v>
      </c>
      <c r="C94" s="17" t="s">
        <v>487</v>
      </c>
      <c r="D94" s="16" t="s">
        <v>491</v>
      </c>
      <c r="E94" s="17" t="s">
        <v>1421</v>
      </c>
      <c r="F94" s="16">
        <v>51</v>
      </c>
      <c r="G94" s="16" t="s">
        <v>492</v>
      </c>
      <c r="H94" s="16" t="s">
        <v>937</v>
      </c>
      <c r="I94" s="20" t="s">
        <v>102</v>
      </c>
      <c r="J94" s="16" t="s">
        <v>992</v>
      </c>
      <c r="K94" s="16" t="s">
        <v>1422</v>
      </c>
      <c r="L94" s="16" t="s">
        <v>493</v>
      </c>
      <c r="M94" s="16" t="s">
        <v>1423</v>
      </c>
      <c r="N94" s="17" t="s">
        <v>993</v>
      </c>
      <c r="O94" s="18" t="s">
        <v>1083</v>
      </c>
    </row>
    <row r="95" spans="1:15" ht="71.25" customHeight="1">
      <c r="A95" s="16" t="s">
        <v>555</v>
      </c>
      <c r="B95" s="16" t="s">
        <v>38</v>
      </c>
      <c r="C95" s="17" t="s">
        <v>556</v>
      </c>
      <c r="D95" s="16" t="s">
        <v>1424</v>
      </c>
      <c r="E95" s="17" t="s">
        <v>1425</v>
      </c>
      <c r="F95" s="16">
        <v>5</v>
      </c>
      <c r="G95" s="16" t="s">
        <v>136</v>
      </c>
      <c r="H95" s="16" t="s">
        <v>940</v>
      </c>
      <c r="I95" s="20" t="s">
        <v>102</v>
      </c>
      <c r="J95" s="17" t="s">
        <v>1002</v>
      </c>
      <c r="K95" s="16" t="s">
        <v>1426</v>
      </c>
      <c r="L95" s="16" t="s">
        <v>562</v>
      </c>
      <c r="M95" s="16" t="s">
        <v>1427</v>
      </c>
      <c r="N95" s="16" t="s">
        <v>1003</v>
      </c>
      <c r="O95" s="18" t="s">
        <v>1083</v>
      </c>
    </row>
    <row r="96" spans="1:15" ht="71.25" customHeight="1">
      <c r="A96" s="16" t="s">
        <v>574</v>
      </c>
      <c r="B96" s="16" t="s">
        <v>575</v>
      </c>
      <c r="C96" s="17" t="s">
        <v>576</v>
      </c>
      <c r="D96" s="16" t="s">
        <v>1428</v>
      </c>
      <c r="E96" s="17" t="s">
        <v>1429</v>
      </c>
      <c r="F96" s="16">
        <v>48</v>
      </c>
      <c r="G96" s="16" t="s">
        <v>578</v>
      </c>
      <c r="H96" s="16" t="s">
        <v>1006</v>
      </c>
      <c r="I96" s="20" t="s">
        <v>102</v>
      </c>
      <c r="J96" s="16" t="s">
        <v>1007</v>
      </c>
      <c r="K96" s="16" t="s">
        <v>1430</v>
      </c>
      <c r="L96" s="16" t="s">
        <v>579</v>
      </c>
      <c r="M96" s="16" t="s">
        <v>1431</v>
      </c>
      <c r="N96" s="17" t="s">
        <v>1008</v>
      </c>
      <c r="O96" s="18" t="s">
        <v>1083</v>
      </c>
    </row>
    <row r="97" spans="1:15" ht="114" customHeight="1">
      <c r="A97" s="16" t="s">
        <v>790</v>
      </c>
      <c r="B97" s="16" t="s">
        <v>791</v>
      </c>
      <c r="C97" s="17" t="s">
        <v>792</v>
      </c>
      <c r="D97" s="16" t="s">
        <v>1432</v>
      </c>
      <c r="E97" s="17" t="s">
        <v>1433</v>
      </c>
      <c r="F97" s="16">
        <v>5346</v>
      </c>
      <c r="G97" s="16" t="s">
        <v>800</v>
      </c>
      <c r="H97" s="16" t="s">
        <v>1048</v>
      </c>
      <c r="I97" s="18" t="s">
        <v>81</v>
      </c>
      <c r="J97" s="16" t="s">
        <v>1050</v>
      </c>
      <c r="K97" s="16" t="s">
        <v>1434</v>
      </c>
      <c r="L97" s="16" t="s">
        <v>1049</v>
      </c>
      <c r="M97" s="16" t="s">
        <v>1435</v>
      </c>
      <c r="N97" s="17" t="s">
        <v>1436</v>
      </c>
      <c r="O97" s="18" t="s">
        <v>1083</v>
      </c>
    </row>
    <row r="98" spans="1:15" ht="71.25" customHeight="1">
      <c r="A98" s="16" t="s">
        <v>790</v>
      </c>
      <c r="B98" s="16" t="s">
        <v>791</v>
      </c>
      <c r="C98" s="17" t="s">
        <v>792</v>
      </c>
      <c r="D98" s="16" t="s">
        <v>1437</v>
      </c>
      <c r="E98" s="17" t="s">
        <v>1438</v>
      </c>
      <c r="F98" s="16">
        <v>2100</v>
      </c>
      <c r="G98" s="16" t="s">
        <v>1439</v>
      </c>
      <c r="H98" s="16" t="s">
        <v>1440</v>
      </c>
      <c r="I98" s="18" t="s">
        <v>81</v>
      </c>
      <c r="J98" s="16" t="s">
        <v>1050</v>
      </c>
      <c r="K98" s="16" t="s">
        <v>1441</v>
      </c>
      <c r="L98" s="16" t="s">
        <v>1442</v>
      </c>
      <c r="M98" s="16" t="s">
        <v>1443</v>
      </c>
      <c r="N98" s="16"/>
      <c r="O98" s="16" t="s">
        <v>1095</v>
      </c>
    </row>
    <row r="99" spans="1:15" ht="71.25" customHeight="1">
      <c r="A99" s="16" t="s">
        <v>815</v>
      </c>
      <c r="B99" s="16" t="s">
        <v>816</v>
      </c>
      <c r="C99" s="17" t="s">
        <v>817</v>
      </c>
      <c r="D99" s="16" t="s">
        <v>1444</v>
      </c>
      <c r="E99" s="17" t="s">
        <v>1445</v>
      </c>
      <c r="F99" s="16">
        <v>3500</v>
      </c>
      <c r="G99" s="16" t="s">
        <v>539</v>
      </c>
      <c r="H99" s="16" t="s">
        <v>1054</v>
      </c>
      <c r="I99" s="18" t="s">
        <v>81</v>
      </c>
      <c r="J99" s="16" t="s">
        <v>1055</v>
      </c>
      <c r="K99" s="16" t="s">
        <v>1446</v>
      </c>
      <c r="L99" s="16" t="s">
        <v>824</v>
      </c>
      <c r="M99" s="16" t="s">
        <v>1447</v>
      </c>
      <c r="N99" s="16" t="s">
        <v>1056</v>
      </c>
      <c r="O99" s="18" t="s">
        <v>1083</v>
      </c>
    </row>
    <row r="100" spans="1:15" ht="71.25" customHeight="1">
      <c r="A100" s="16" t="s">
        <v>844</v>
      </c>
      <c r="B100" s="16" t="s">
        <v>845</v>
      </c>
      <c r="C100" s="17" t="s">
        <v>846</v>
      </c>
      <c r="D100" s="16" t="s">
        <v>1448</v>
      </c>
      <c r="E100" s="16" t="s">
        <v>1449</v>
      </c>
      <c r="F100" s="16">
        <v>381</v>
      </c>
      <c r="G100" s="16" t="s">
        <v>253</v>
      </c>
      <c r="H100" s="16" t="s">
        <v>937</v>
      </c>
      <c r="I100" s="18" t="s">
        <v>81</v>
      </c>
      <c r="J100" s="16" t="s">
        <v>1060</v>
      </c>
      <c r="K100" s="16" t="s">
        <v>1450</v>
      </c>
      <c r="L100" s="16" t="s">
        <v>850</v>
      </c>
      <c r="M100" s="16" t="s">
        <v>1451</v>
      </c>
      <c r="N100" s="17" t="s">
        <v>1061</v>
      </c>
      <c r="O100" s="18" t="s">
        <v>1083</v>
      </c>
    </row>
    <row r="101" spans="1:15" ht="57" customHeight="1">
      <c r="A101" s="16" t="s">
        <v>873</v>
      </c>
      <c r="B101" s="16" t="s">
        <v>874</v>
      </c>
      <c r="C101" s="17" t="s">
        <v>875</v>
      </c>
      <c r="D101" s="16" t="s">
        <v>1452</v>
      </c>
      <c r="E101" s="17" t="s">
        <v>1453</v>
      </c>
      <c r="F101" s="16">
        <v>16</v>
      </c>
      <c r="G101" s="16" t="s">
        <v>253</v>
      </c>
      <c r="H101" s="16" t="s">
        <v>937</v>
      </c>
      <c r="I101" s="18" t="s">
        <v>81</v>
      </c>
      <c r="J101" s="16" t="s">
        <v>1065</v>
      </c>
      <c r="K101" s="16" t="s">
        <v>1454</v>
      </c>
      <c r="L101" s="16" t="s">
        <v>879</v>
      </c>
      <c r="M101" s="16" t="s">
        <v>1455</v>
      </c>
      <c r="N101" s="17" t="s">
        <v>1066</v>
      </c>
      <c r="O101" s="18" t="s">
        <v>1083</v>
      </c>
    </row>
    <row r="102" spans="1:15" ht="42.75" customHeight="1">
      <c r="A102" s="16" t="s">
        <v>873</v>
      </c>
      <c r="B102" s="16" t="s">
        <v>874</v>
      </c>
      <c r="C102" s="17" t="s">
        <v>875</v>
      </c>
      <c r="D102" s="16" t="s">
        <v>1456</v>
      </c>
      <c r="E102" s="17" t="s">
        <v>1457</v>
      </c>
      <c r="F102" s="16">
        <v>50</v>
      </c>
      <c r="G102" s="16" t="s">
        <v>1458</v>
      </c>
      <c r="H102" s="16" t="s">
        <v>937</v>
      </c>
      <c r="I102" s="18" t="s">
        <v>81</v>
      </c>
      <c r="J102" s="16" t="s">
        <v>1065</v>
      </c>
      <c r="K102" s="16" t="s">
        <v>1459</v>
      </c>
      <c r="L102" s="16" t="s">
        <v>1460</v>
      </c>
      <c r="M102" s="16" t="s">
        <v>1461</v>
      </c>
      <c r="N102" s="16"/>
      <c r="O102" s="16" t="s">
        <v>1095</v>
      </c>
    </row>
    <row r="103" spans="1:15" ht="85.5" customHeight="1">
      <c r="A103" s="16" t="s">
        <v>580</v>
      </c>
      <c r="B103" s="16" t="s">
        <v>581</v>
      </c>
      <c r="C103" s="17" t="s">
        <v>582</v>
      </c>
      <c r="D103" s="16" t="s">
        <v>1462</v>
      </c>
      <c r="E103" s="17" t="s">
        <v>1463</v>
      </c>
      <c r="F103" s="16">
        <v>2</v>
      </c>
      <c r="G103" s="16" t="s">
        <v>279</v>
      </c>
      <c r="H103" s="16" t="s">
        <v>937</v>
      </c>
      <c r="I103" s="18" t="s">
        <v>81</v>
      </c>
      <c r="J103" s="16" t="s">
        <v>1009</v>
      </c>
      <c r="K103" s="28" t="s">
        <v>1464</v>
      </c>
      <c r="L103" s="16" t="s">
        <v>584</v>
      </c>
      <c r="M103" s="28" t="s">
        <v>1465</v>
      </c>
      <c r="N103" s="17" t="s">
        <v>1010</v>
      </c>
      <c r="O103" s="18" t="s">
        <v>1083</v>
      </c>
    </row>
    <row r="104" spans="1:15" ht="99.75" customHeight="1">
      <c r="A104" s="16" t="s">
        <v>532</v>
      </c>
      <c r="B104" s="16" t="s">
        <v>533</v>
      </c>
      <c r="C104" s="17" t="s">
        <v>534</v>
      </c>
      <c r="D104" s="16" t="s">
        <v>538</v>
      </c>
      <c r="E104" s="17" t="s">
        <v>1466</v>
      </c>
      <c r="F104" s="16">
        <v>3</v>
      </c>
      <c r="G104" s="16" t="s">
        <v>539</v>
      </c>
      <c r="H104" s="16" t="s">
        <v>937</v>
      </c>
      <c r="I104" s="20" t="s">
        <v>102</v>
      </c>
      <c r="J104" s="16" t="s">
        <v>1000</v>
      </c>
      <c r="K104" s="16" t="s">
        <v>1467</v>
      </c>
      <c r="L104" s="16" t="s">
        <v>540</v>
      </c>
      <c r="M104" s="16" t="s">
        <v>1468</v>
      </c>
      <c r="N104" s="17" t="s">
        <v>1001</v>
      </c>
      <c r="O104" s="18" t="s">
        <v>1083</v>
      </c>
    </row>
  </sheetData>
  <autoFilter ref="A1:O104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4" width="14" customWidth="1"/>
    <col min="5" max="5" width="36" customWidth="1"/>
    <col min="6" max="6" width="40" customWidth="1"/>
    <col min="7" max="14" width="14" customWidth="1"/>
    <col min="15" max="15" width="36" customWidth="1"/>
    <col min="16" max="26" width="14" customWidth="1"/>
  </cols>
  <sheetData>
    <row r="1" spans="1:26" ht="36" customHeight="1">
      <c r="A1" s="11" t="s">
        <v>40</v>
      </c>
      <c r="B1" s="11" t="s">
        <v>41</v>
      </c>
      <c r="C1" s="11" t="s">
        <v>42</v>
      </c>
      <c r="D1" s="11" t="s">
        <v>1469</v>
      </c>
      <c r="E1" s="11" t="s">
        <v>1470</v>
      </c>
      <c r="F1" s="11" t="s">
        <v>1471</v>
      </c>
      <c r="G1" s="11" t="s">
        <v>46</v>
      </c>
      <c r="H1" s="11" t="s">
        <v>47</v>
      </c>
      <c r="I1" s="11" t="s">
        <v>1472</v>
      </c>
      <c r="J1" s="11" t="s">
        <v>1473</v>
      </c>
      <c r="K1" s="11" t="s">
        <v>49</v>
      </c>
      <c r="L1" s="11" t="s">
        <v>50</v>
      </c>
      <c r="M1" s="11" t="s">
        <v>930</v>
      </c>
      <c r="N1" s="11" t="s">
        <v>1076</v>
      </c>
      <c r="O1" s="11" t="s">
        <v>51</v>
      </c>
      <c r="P1" s="11" t="s">
        <v>52</v>
      </c>
      <c r="Q1" s="11" t="s">
        <v>1474</v>
      </c>
      <c r="R1" s="11" t="s">
        <v>1077</v>
      </c>
      <c r="S1" s="11" t="s">
        <v>1475</v>
      </c>
      <c r="T1" s="11" t="s">
        <v>1476</v>
      </c>
      <c r="U1" s="11" t="s">
        <v>1477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60</v>
      </c>
    </row>
    <row r="2" spans="1:26" ht="114" customHeight="1">
      <c r="A2" s="16" t="s">
        <v>495</v>
      </c>
      <c r="B2" s="16" t="s">
        <v>496</v>
      </c>
      <c r="C2" s="17" t="s">
        <v>497</v>
      </c>
      <c r="D2" s="27" t="s">
        <v>1478</v>
      </c>
      <c r="E2" s="27" t="s">
        <v>498</v>
      </c>
      <c r="F2" s="16" t="s">
        <v>499</v>
      </c>
      <c r="G2" s="16">
        <v>102700000000</v>
      </c>
      <c r="H2" s="16" t="s">
        <v>500</v>
      </c>
      <c r="I2" s="17" t="s">
        <v>1479</v>
      </c>
      <c r="J2" s="19">
        <v>27.386666666666699</v>
      </c>
      <c r="K2" s="16" t="s">
        <v>337</v>
      </c>
      <c r="L2" s="18" t="s">
        <v>81</v>
      </c>
      <c r="M2" s="16" t="s">
        <v>1480</v>
      </c>
      <c r="N2" s="16" t="s">
        <v>1481</v>
      </c>
      <c r="O2" s="16" t="s">
        <v>501</v>
      </c>
      <c r="P2" s="16" t="s">
        <v>502</v>
      </c>
      <c r="Q2" s="16" t="s">
        <v>1482</v>
      </c>
      <c r="R2" s="16" t="s">
        <v>1483</v>
      </c>
      <c r="S2" s="16" t="s">
        <v>253</v>
      </c>
      <c r="T2" s="16" t="s">
        <v>1484</v>
      </c>
      <c r="U2" s="16" t="s">
        <v>1485</v>
      </c>
      <c r="V2" s="16" t="s">
        <v>84</v>
      </c>
      <c r="W2" s="16" t="s">
        <v>85</v>
      </c>
      <c r="X2" s="16" t="s">
        <v>188</v>
      </c>
      <c r="Y2" s="16" t="s">
        <v>189</v>
      </c>
      <c r="Z2" s="16" t="s">
        <v>89</v>
      </c>
    </row>
    <row r="3" spans="1:26" ht="99.75" customHeight="1">
      <c r="A3" s="16" t="s">
        <v>509</v>
      </c>
      <c r="B3" s="16" t="s">
        <v>510</v>
      </c>
      <c r="C3" s="17" t="s">
        <v>511</v>
      </c>
      <c r="D3" s="29" t="s">
        <v>1486</v>
      </c>
      <c r="E3" s="29" t="s">
        <v>512</v>
      </c>
      <c r="F3" s="16" t="s">
        <v>513</v>
      </c>
      <c r="G3" s="16">
        <v>567900000000</v>
      </c>
      <c r="H3" s="16" t="s">
        <v>514</v>
      </c>
      <c r="I3" s="17" t="s">
        <v>1487</v>
      </c>
      <c r="J3" s="19">
        <v>154.63580667120499</v>
      </c>
      <c r="K3" s="16" t="s">
        <v>101</v>
      </c>
      <c r="L3" s="18" t="s">
        <v>81</v>
      </c>
      <c r="M3" s="16" t="s">
        <v>996</v>
      </c>
      <c r="N3" s="16" t="s">
        <v>1488</v>
      </c>
      <c r="O3" s="16" t="s">
        <v>515</v>
      </c>
      <c r="P3" s="16" t="s">
        <v>516</v>
      </c>
      <c r="Q3" s="16" t="s">
        <v>1482</v>
      </c>
      <c r="R3" s="16" t="s">
        <v>1489</v>
      </c>
      <c r="S3" s="16" t="s">
        <v>253</v>
      </c>
      <c r="T3" s="16" t="s">
        <v>1484</v>
      </c>
      <c r="U3" s="17" t="s">
        <v>1490</v>
      </c>
      <c r="V3" s="16" t="s">
        <v>84</v>
      </c>
      <c r="W3" s="16" t="s">
        <v>85</v>
      </c>
      <c r="X3" s="16" t="s">
        <v>188</v>
      </c>
      <c r="Y3" s="16" t="s">
        <v>189</v>
      </c>
      <c r="Z3" s="16" t="s">
        <v>89</v>
      </c>
    </row>
    <row r="4" spans="1:26" ht="85.5" customHeight="1">
      <c r="A4" s="16" t="s">
        <v>73</v>
      </c>
      <c r="B4" s="16" t="s">
        <v>74</v>
      </c>
      <c r="C4" s="17" t="s">
        <v>75</v>
      </c>
      <c r="D4" s="27" t="s">
        <v>1478</v>
      </c>
      <c r="E4" s="27" t="s">
        <v>77</v>
      </c>
      <c r="F4" s="16" t="s">
        <v>78</v>
      </c>
      <c r="G4" s="16">
        <v>48387440000000</v>
      </c>
      <c r="H4" s="16" t="s">
        <v>79</v>
      </c>
      <c r="I4" s="16" t="s">
        <v>1491</v>
      </c>
      <c r="J4" s="19">
        <v>508.59196972882103</v>
      </c>
      <c r="K4" s="16" t="s">
        <v>80</v>
      </c>
      <c r="L4" s="18" t="s">
        <v>81</v>
      </c>
      <c r="M4" s="16" t="s">
        <v>932</v>
      </c>
      <c r="N4" s="16" t="s">
        <v>1492</v>
      </c>
      <c r="O4" s="16" t="s">
        <v>82</v>
      </c>
      <c r="P4" s="16"/>
      <c r="Q4" s="16" t="s">
        <v>1493</v>
      </c>
      <c r="R4" s="16" t="s">
        <v>1494</v>
      </c>
      <c r="S4" s="16" t="s">
        <v>253</v>
      </c>
      <c r="T4" s="16" t="s">
        <v>1484</v>
      </c>
      <c r="U4" s="17" t="s">
        <v>1495</v>
      </c>
      <c r="V4" s="16" t="s">
        <v>84</v>
      </c>
      <c r="W4" s="16" t="s">
        <v>85</v>
      </c>
      <c r="X4" s="16" t="s">
        <v>86</v>
      </c>
      <c r="Y4" s="16" t="s">
        <v>87</v>
      </c>
      <c r="Z4" s="16" t="s">
        <v>89</v>
      </c>
    </row>
    <row r="5" spans="1:26" ht="85.5" customHeight="1">
      <c r="A5" s="16" t="s">
        <v>73</v>
      </c>
      <c r="B5" s="16" t="s">
        <v>74</v>
      </c>
      <c r="C5" s="17" t="s">
        <v>75</v>
      </c>
      <c r="D5" s="27" t="s">
        <v>1478</v>
      </c>
      <c r="E5" s="27" t="s">
        <v>1496</v>
      </c>
      <c r="F5" s="16" t="s">
        <v>1497</v>
      </c>
      <c r="G5" s="16">
        <v>18388970000000</v>
      </c>
      <c r="H5" s="16" t="s">
        <v>79</v>
      </c>
      <c r="I5" s="16" t="s">
        <v>1491</v>
      </c>
      <c r="J5" s="19">
        <v>193.283266764768</v>
      </c>
      <c r="K5" s="16" t="s">
        <v>157</v>
      </c>
      <c r="L5" s="18" t="s">
        <v>81</v>
      </c>
      <c r="M5" s="16" t="s">
        <v>932</v>
      </c>
      <c r="N5" s="16" t="s">
        <v>1498</v>
      </c>
      <c r="O5" s="16" t="s">
        <v>82</v>
      </c>
      <c r="P5" s="16"/>
      <c r="Q5" s="16" t="s">
        <v>1493</v>
      </c>
      <c r="R5" s="16" t="s">
        <v>1499</v>
      </c>
      <c r="S5" s="16" t="s">
        <v>253</v>
      </c>
      <c r="T5" s="16" t="s">
        <v>1484</v>
      </c>
      <c r="U5" s="17" t="s">
        <v>1500</v>
      </c>
      <c r="V5" s="16" t="s">
        <v>84</v>
      </c>
      <c r="W5" s="16" t="s">
        <v>85</v>
      </c>
      <c r="X5" s="16" t="s">
        <v>86</v>
      </c>
      <c r="Y5" s="16" t="s">
        <v>87</v>
      </c>
      <c r="Z5" s="16" t="s">
        <v>89</v>
      </c>
    </row>
    <row r="6" spans="1:26" ht="71.25" customHeight="1">
      <c r="A6" s="16" t="s">
        <v>177</v>
      </c>
      <c r="B6" s="16" t="s">
        <v>178</v>
      </c>
      <c r="C6" s="17" t="s">
        <v>179</v>
      </c>
      <c r="D6" s="25" t="s">
        <v>1501</v>
      </c>
      <c r="E6" s="25" t="s">
        <v>180</v>
      </c>
      <c r="F6" s="16" t="s">
        <v>181</v>
      </c>
      <c r="G6" s="16">
        <v>8487400000000</v>
      </c>
      <c r="H6" s="16" t="s">
        <v>182</v>
      </c>
      <c r="I6" s="17" t="s">
        <v>1502</v>
      </c>
      <c r="J6" s="19">
        <v>53.908790650406502</v>
      </c>
      <c r="K6" s="16" t="s">
        <v>92</v>
      </c>
      <c r="L6" s="18" t="s">
        <v>81</v>
      </c>
      <c r="M6" s="16" t="s">
        <v>949</v>
      </c>
      <c r="N6" s="17" t="s">
        <v>1503</v>
      </c>
      <c r="O6" s="16" t="s">
        <v>183</v>
      </c>
      <c r="P6" s="16" t="s">
        <v>184</v>
      </c>
      <c r="Q6" s="16" t="s">
        <v>1482</v>
      </c>
      <c r="R6" s="17" t="s">
        <v>1504</v>
      </c>
      <c r="S6" s="16" t="s">
        <v>253</v>
      </c>
      <c r="T6" s="16" t="s">
        <v>1484</v>
      </c>
      <c r="U6" s="16" t="s">
        <v>965</v>
      </c>
      <c r="V6" s="16" t="s">
        <v>186</v>
      </c>
      <c r="W6" s="16" t="s">
        <v>187</v>
      </c>
      <c r="X6" s="16" t="s">
        <v>188</v>
      </c>
      <c r="Y6" s="16" t="s">
        <v>189</v>
      </c>
      <c r="Z6" s="16" t="s">
        <v>190</v>
      </c>
    </row>
    <row r="7" spans="1:26" ht="85.5" customHeight="1">
      <c r="A7" s="16" t="s">
        <v>126</v>
      </c>
      <c r="B7" s="16" t="s">
        <v>127</v>
      </c>
      <c r="C7" s="17" t="s">
        <v>128</v>
      </c>
      <c r="D7" s="25" t="s">
        <v>1501</v>
      </c>
      <c r="E7" s="25" t="s">
        <v>129</v>
      </c>
      <c r="F7" s="16" t="s">
        <v>130</v>
      </c>
      <c r="G7" s="16">
        <v>643446000000</v>
      </c>
      <c r="H7" s="16" t="s">
        <v>131</v>
      </c>
      <c r="I7" s="16" t="s">
        <v>1505</v>
      </c>
      <c r="J7" s="19">
        <v>19.345941070354801</v>
      </c>
      <c r="K7" s="16" t="s">
        <v>132</v>
      </c>
      <c r="L7" s="18" t="s">
        <v>81</v>
      </c>
      <c r="M7" s="16" t="s">
        <v>941</v>
      </c>
      <c r="N7" s="16" t="s">
        <v>1506</v>
      </c>
      <c r="O7" s="16" t="s">
        <v>133</v>
      </c>
      <c r="P7" s="16"/>
      <c r="Q7" s="16" t="s">
        <v>1507</v>
      </c>
      <c r="R7" s="16" t="s">
        <v>1508</v>
      </c>
      <c r="S7" s="16" t="s">
        <v>253</v>
      </c>
      <c r="T7" s="16" t="s">
        <v>1484</v>
      </c>
      <c r="U7" s="16" t="s">
        <v>1509</v>
      </c>
      <c r="V7" s="16" t="s">
        <v>84</v>
      </c>
      <c r="W7" s="16" t="s">
        <v>85</v>
      </c>
      <c r="X7" s="16" t="s">
        <v>105</v>
      </c>
      <c r="Y7" s="16" t="s">
        <v>106</v>
      </c>
      <c r="Z7" s="16" t="s">
        <v>89</v>
      </c>
    </row>
    <row r="8" spans="1:26" ht="99.75" customHeight="1">
      <c r="A8" s="16" t="s">
        <v>95</v>
      </c>
      <c r="B8" s="16" t="s">
        <v>96</v>
      </c>
      <c r="C8" s="17" t="s">
        <v>97</v>
      </c>
      <c r="D8" s="25" t="s">
        <v>1501</v>
      </c>
      <c r="E8" s="25" t="s">
        <v>98</v>
      </c>
      <c r="F8" s="16" t="s">
        <v>99</v>
      </c>
      <c r="G8" s="16">
        <v>1430000000000</v>
      </c>
      <c r="H8" s="16" t="s">
        <v>100</v>
      </c>
      <c r="I8" s="16" t="s">
        <v>1510</v>
      </c>
      <c r="J8" s="19">
        <v>211.85185185185199</v>
      </c>
      <c r="K8" s="16" t="s">
        <v>101</v>
      </c>
      <c r="L8" s="20" t="s">
        <v>102</v>
      </c>
      <c r="M8" s="17" t="s">
        <v>1511</v>
      </c>
      <c r="N8" s="16" t="s">
        <v>1512</v>
      </c>
      <c r="O8" s="16" t="s">
        <v>103</v>
      </c>
      <c r="P8" s="16"/>
      <c r="Q8" s="16" t="s">
        <v>1513</v>
      </c>
      <c r="R8" s="16" t="s">
        <v>1514</v>
      </c>
      <c r="S8" s="16" t="s">
        <v>253</v>
      </c>
      <c r="T8" s="16" t="s">
        <v>1484</v>
      </c>
      <c r="U8" s="16" t="s">
        <v>1515</v>
      </c>
      <c r="V8" s="16" t="s">
        <v>84</v>
      </c>
      <c r="W8" s="16" t="s">
        <v>85</v>
      </c>
      <c r="X8" s="16" t="s">
        <v>105</v>
      </c>
      <c r="Y8" s="16" t="s">
        <v>106</v>
      </c>
      <c r="Z8" s="16" t="s">
        <v>89</v>
      </c>
    </row>
    <row r="9" spans="1:26" ht="71.25" customHeight="1">
      <c r="A9" s="16" t="s">
        <v>113</v>
      </c>
      <c r="B9" s="16" t="s">
        <v>114</v>
      </c>
      <c r="C9" s="17" t="s">
        <v>115</v>
      </c>
      <c r="D9" s="27" t="s">
        <v>1478</v>
      </c>
      <c r="E9" s="27" t="s">
        <v>116</v>
      </c>
      <c r="F9" s="16" t="s">
        <v>117</v>
      </c>
      <c r="G9" s="16">
        <v>101030000000000</v>
      </c>
      <c r="H9" s="16" t="s">
        <v>118</v>
      </c>
      <c r="I9" s="16" t="s">
        <v>1516</v>
      </c>
      <c r="J9" s="19">
        <v>5.6240258294366496</v>
      </c>
      <c r="K9" s="16" t="s">
        <v>119</v>
      </c>
      <c r="L9" s="18" t="s">
        <v>81</v>
      </c>
      <c r="M9" s="16" t="s">
        <v>938</v>
      </c>
      <c r="N9" s="16" t="s">
        <v>1517</v>
      </c>
      <c r="O9" s="16" t="s">
        <v>120</v>
      </c>
      <c r="P9" s="16"/>
      <c r="Q9" s="16" t="s">
        <v>1518</v>
      </c>
      <c r="R9" s="16" t="s">
        <v>1519</v>
      </c>
      <c r="S9" s="16" t="s">
        <v>253</v>
      </c>
      <c r="T9" s="16" t="s">
        <v>1484</v>
      </c>
      <c r="U9" s="17" t="s">
        <v>1520</v>
      </c>
      <c r="V9" s="16" t="s">
        <v>84</v>
      </c>
      <c r="W9" s="16" t="s">
        <v>85</v>
      </c>
      <c r="X9" s="16" t="s">
        <v>105</v>
      </c>
      <c r="Y9" s="16" t="s">
        <v>106</v>
      </c>
      <c r="Z9" s="16" t="s">
        <v>89</v>
      </c>
    </row>
    <row r="10" spans="1:26" ht="85.5" customHeight="1">
      <c r="A10" s="16" t="s">
        <v>296</v>
      </c>
      <c r="B10" s="16" t="s">
        <v>297</v>
      </c>
      <c r="C10" s="17" t="s">
        <v>298</v>
      </c>
      <c r="D10" s="29" t="s">
        <v>1486</v>
      </c>
      <c r="E10" s="29" t="s">
        <v>1521</v>
      </c>
      <c r="F10" s="16" t="s">
        <v>1522</v>
      </c>
      <c r="G10" s="16">
        <v>2438800000000</v>
      </c>
      <c r="H10" s="16" t="s">
        <v>301</v>
      </c>
      <c r="I10" s="17" t="s">
        <v>1523</v>
      </c>
      <c r="J10" s="19">
        <v>135.48888888888899</v>
      </c>
      <c r="K10" s="16" t="s">
        <v>136</v>
      </c>
      <c r="L10" s="18" t="s">
        <v>81</v>
      </c>
      <c r="M10" s="16" t="s">
        <v>966</v>
      </c>
      <c r="N10" s="16" t="s">
        <v>1524</v>
      </c>
      <c r="O10" s="16" t="s">
        <v>302</v>
      </c>
      <c r="P10" s="16" t="s">
        <v>303</v>
      </c>
      <c r="Q10" s="16" t="s">
        <v>1482</v>
      </c>
      <c r="R10" s="16" t="s">
        <v>1525</v>
      </c>
      <c r="S10" s="16" t="s">
        <v>253</v>
      </c>
      <c r="T10" s="16" t="s">
        <v>1484</v>
      </c>
      <c r="U10" s="16" t="s">
        <v>1526</v>
      </c>
      <c r="V10" s="16" t="s">
        <v>84</v>
      </c>
      <c r="W10" s="16" t="s">
        <v>85</v>
      </c>
      <c r="X10" s="16" t="s">
        <v>105</v>
      </c>
      <c r="Y10" s="16" t="s">
        <v>106</v>
      </c>
      <c r="Z10" s="16" t="s">
        <v>89</v>
      </c>
    </row>
    <row r="11" spans="1:26" ht="85.5" customHeight="1">
      <c r="A11" s="16" t="s">
        <v>296</v>
      </c>
      <c r="B11" s="16" t="s">
        <v>297</v>
      </c>
      <c r="C11" s="17" t="s">
        <v>298</v>
      </c>
      <c r="D11" s="27" t="s">
        <v>1478</v>
      </c>
      <c r="E11" s="27" t="s">
        <v>299</v>
      </c>
      <c r="F11" s="16" t="s">
        <v>300</v>
      </c>
      <c r="G11" s="16">
        <v>185826000000</v>
      </c>
      <c r="H11" s="16" t="s">
        <v>301</v>
      </c>
      <c r="I11" s="16" t="s">
        <v>1527</v>
      </c>
      <c r="J11" s="19">
        <v>10.3236666666667</v>
      </c>
      <c r="K11" s="16" t="s">
        <v>136</v>
      </c>
      <c r="L11" s="18" t="s">
        <v>81</v>
      </c>
      <c r="M11" s="16" t="s">
        <v>966</v>
      </c>
      <c r="N11" s="16" t="s">
        <v>1528</v>
      </c>
      <c r="O11" s="16" t="s">
        <v>302</v>
      </c>
      <c r="P11" s="16" t="s">
        <v>303</v>
      </c>
      <c r="Q11" s="16" t="s">
        <v>1482</v>
      </c>
      <c r="R11" s="16" t="s">
        <v>1529</v>
      </c>
      <c r="S11" s="16" t="s">
        <v>253</v>
      </c>
      <c r="T11" s="16" t="s">
        <v>1484</v>
      </c>
      <c r="U11" s="16" t="s">
        <v>1530</v>
      </c>
      <c r="V11" s="16" t="s">
        <v>84</v>
      </c>
      <c r="W11" s="16" t="s">
        <v>85</v>
      </c>
      <c r="X11" s="16" t="s">
        <v>105</v>
      </c>
      <c r="Y11" s="16" t="s">
        <v>106</v>
      </c>
      <c r="Z11" s="16" t="s">
        <v>89</v>
      </c>
    </row>
    <row r="12" spans="1:26" ht="71.25" customHeight="1">
      <c r="A12" s="16" t="s">
        <v>447</v>
      </c>
      <c r="B12" s="16" t="s">
        <v>448</v>
      </c>
      <c r="C12" s="17" t="s">
        <v>449</v>
      </c>
      <c r="D12" s="25" t="s">
        <v>1501</v>
      </c>
      <c r="E12" s="25" t="s">
        <v>450</v>
      </c>
      <c r="F12" s="16" t="s">
        <v>451</v>
      </c>
      <c r="G12" s="16">
        <v>99000000000</v>
      </c>
      <c r="H12" s="16" t="s">
        <v>452</v>
      </c>
      <c r="I12" s="16" t="s">
        <v>1531</v>
      </c>
      <c r="J12" s="19">
        <v>10.1020408163265</v>
      </c>
      <c r="K12" s="16" t="s">
        <v>101</v>
      </c>
      <c r="L12" s="18" t="s">
        <v>81</v>
      </c>
      <c r="M12" s="16" t="s">
        <v>988</v>
      </c>
      <c r="N12" s="16" t="s">
        <v>1532</v>
      </c>
      <c r="O12" s="16" t="s">
        <v>453</v>
      </c>
      <c r="P12" s="16" t="s">
        <v>454</v>
      </c>
      <c r="Q12" s="16" t="s">
        <v>1482</v>
      </c>
      <c r="R12" s="16" t="s">
        <v>1533</v>
      </c>
      <c r="S12" s="16" t="s">
        <v>253</v>
      </c>
      <c r="T12" s="16" t="s">
        <v>1484</v>
      </c>
      <c r="U12" s="16" t="s">
        <v>1534</v>
      </c>
      <c r="V12" s="16" t="s">
        <v>84</v>
      </c>
      <c r="W12" s="16" t="s">
        <v>85</v>
      </c>
      <c r="X12" s="16" t="s">
        <v>86</v>
      </c>
      <c r="Y12" s="16" t="s">
        <v>87</v>
      </c>
      <c r="Z12" s="16" t="s">
        <v>89</v>
      </c>
    </row>
    <row r="13" spans="1:26" ht="85.5" customHeight="1">
      <c r="A13" s="16" t="s">
        <v>447</v>
      </c>
      <c r="B13" s="16" t="s">
        <v>448</v>
      </c>
      <c r="C13" s="17" t="s">
        <v>449</v>
      </c>
      <c r="D13" s="29" t="s">
        <v>1486</v>
      </c>
      <c r="E13" s="29" t="s">
        <v>1535</v>
      </c>
      <c r="F13" s="16" t="s">
        <v>1536</v>
      </c>
      <c r="G13" s="16">
        <v>183000000000</v>
      </c>
      <c r="H13" s="16" t="s">
        <v>452</v>
      </c>
      <c r="I13" s="16" t="s">
        <v>1531</v>
      </c>
      <c r="J13" s="19">
        <v>18.673469387755102</v>
      </c>
      <c r="K13" s="16" t="s">
        <v>101</v>
      </c>
      <c r="L13" s="18" t="s">
        <v>81</v>
      </c>
      <c r="M13" s="16" t="s">
        <v>988</v>
      </c>
      <c r="N13" s="16" t="s">
        <v>1537</v>
      </c>
      <c r="O13" s="16" t="s">
        <v>453</v>
      </c>
      <c r="P13" s="16" t="s">
        <v>454</v>
      </c>
      <c r="Q13" s="16" t="s">
        <v>1482</v>
      </c>
      <c r="R13" s="16" t="s">
        <v>1538</v>
      </c>
      <c r="S13" s="16" t="s">
        <v>253</v>
      </c>
      <c r="T13" s="16" t="s">
        <v>1484</v>
      </c>
      <c r="U13" s="17" t="s">
        <v>1539</v>
      </c>
      <c r="V13" s="16" t="s">
        <v>84</v>
      </c>
      <c r="W13" s="16" t="s">
        <v>85</v>
      </c>
      <c r="X13" s="16" t="s">
        <v>86</v>
      </c>
      <c r="Y13" s="16" t="s">
        <v>87</v>
      </c>
      <c r="Z13" s="16" t="s">
        <v>89</v>
      </c>
    </row>
    <row r="14" spans="1:26" ht="156.75" customHeight="1">
      <c r="A14" s="16" t="s">
        <v>282</v>
      </c>
      <c r="B14" s="16" t="s">
        <v>283</v>
      </c>
      <c r="C14" s="17" t="s">
        <v>284</v>
      </c>
      <c r="D14" s="25" t="s">
        <v>1501</v>
      </c>
      <c r="E14" s="25" t="s">
        <v>285</v>
      </c>
      <c r="F14" s="16" t="s">
        <v>286</v>
      </c>
      <c r="G14" s="16">
        <v>76800000000</v>
      </c>
      <c r="H14" s="16" t="s">
        <v>287</v>
      </c>
      <c r="I14" s="16" t="s">
        <v>1540</v>
      </c>
      <c r="J14" s="19">
        <v>0.59410536087259203</v>
      </c>
      <c r="K14" s="16" t="s">
        <v>136</v>
      </c>
      <c r="L14" s="18" t="s">
        <v>81</v>
      </c>
      <c r="M14" s="16" t="s">
        <v>1541</v>
      </c>
      <c r="N14" s="16" t="s">
        <v>1542</v>
      </c>
      <c r="O14" s="16" t="s">
        <v>288</v>
      </c>
      <c r="P14" s="16" t="s">
        <v>289</v>
      </c>
      <c r="Q14" s="16" t="s">
        <v>1482</v>
      </c>
      <c r="R14" s="16" t="s">
        <v>1543</v>
      </c>
      <c r="S14" s="16" t="s">
        <v>253</v>
      </c>
      <c r="T14" s="16" t="s">
        <v>1484</v>
      </c>
      <c r="U14" s="17" t="s">
        <v>1544</v>
      </c>
      <c r="V14" s="16" t="s">
        <v>84</v>
      </c>
      <c r="W14" s="16" t="s">
        <v>85</v>
      </c>
      <c r="X14" s="16" t="s">
        <v>86</v>
      </c>
      <c r="Y14" s="16" t="s">
        <v>87</v>
      </c>
      <c r="Z14" s="16" t="s">
        <v>89</v>
      </c>
    </row>
    <row r="15" spans="1:26" ht="85.5" customHeight="1">
      <c r="A15" s="16" t="s">
        <v>585</v>
      </c>
      <c r="B15" s="16" t="s">
        <v>586</v>
      </c>
      <c r="C15" s="17" t="s">
        <v>587</v>
      </c>
      <c r="D15" s="25" t="s">
        <v>1501</v>
      </c>
      <c r="E15" s="25" t="s">
        <v>588</v>
      </c>
      <c r="F15" s="16" t="s">
        <v>589</v>
      </c>
      <c r="G15" s="16">
        <v>43600000000</v>
      </c>
      <c r="H15" s="16" t="s">
        <v>590</v>
      </c>
      <c r="I15" s="16" t="s">
        <v>1545</v>
      </c>
      <c r="J15" s="19">
        <v>13.2121212121212</v>
      </c>
      <c r="K15" s="16" t="s">
        <v>337</v>
      </c>
      <c r="L15" s="18" t="s">
        <v>81</v>
      </c>
      <c r="M15" s="16" t="s">
        <v>1546</v>
      </c>
      <c r="N15" s="16" t="s">
        <v>1547</v>
      </c>
      <c r="O15" s="16" t="s">
        <v>591</v>
      </c>
      <c r="P15" s="16" t="s">
        <v>592</v>
      </c>
      <c r="Q15" s="16" t="s">
        <v>1482</v>
      </c>
      <c r="R15" s="16" t="s">
        <v>1548</v>
      </c>
      <c r="S15" s="16" t="s">
        <v>253</v>
      </c>
      <c r="T15" s="16" t="s">
        <v>1484</v>
      </c>
      <c r="U15" s="16" t="s">
        <v>965</v>
      </c>
      <c r="V15" s="16" t="s">
        <v>186</v>
      </c>
      <c r="W15" s="16" t="s">
        <v>187</v>
      </c>
      <c r="X15" s="16" t="s">
        <v>188</v>
      </c>
      <c r="Y15" s="16" t="s">
        <v>189</v>
      </c>
      <c r="Z15" s="16" t="s">
        <v>190</v>
      </c>
    </row>
    <row r="16" spans="1:26" ht="57" customHeight="1">
      <c r="A16" s="16" t="s">
        <v>139</v>
      </c>
      <c r="B16" s="16" t="s">
        <v>140</v>
      </c>
      <c r="C16" s="17" t="s">
        <v>141</v>
      </c>
      <c r="D16" s="29" t="s">
        <v>1486</v>
      </c>
      <c r="E16" s="29" t="s">
        <v>142</v>
      </c>
      <c r="F16" s="16" t="s">
        <v>143</v>
      </c>
      <c r="G16" s="16">
        <v>120580070000</v>
      </c>
      <c r="H16" s="16" t="s">
        <v>144</v>
      </c>
      <c r="I16" s="16" t="s">
        <v>1549</v>
      </c>
      <c r="J16" s="19">
        <v>29.4097731707317</v>
      </c>
      <c r="K16" s="16" t="s">
        <v>132</v>
      </c>
      <c r="L16" s="18" t="s">
        <v>81</v>
      </c>
      <c r="M16" s="16" t="s">
        <v>943</v>
      </c>
      <c r="N16" s="16" t="s">
        <v>1550</v>
      </c>
      <c r="O16" s="16" t="s">
        <v>145</v>
      </c>
      <c r="P16" s="16"/>
      <c r="Q16" s="16" t="s">
        <v>1551</v>
      </c>
      <c r="R16" s="16" t="s">
        <v>1552</v>
      </c>
      <c r="S16" s="16" t="s">
        <v>253</v>
      </c>
      <c r="T16" s="16" t="s">
        <v>1484</v>
      </c>
      <c r="U16" s="17" t="s">
        <v>1553</v>
      </c>
      <c r="V16" s="16" t="s">
        <v>84</v>
      </c>
      <c r="W16" s="16" t="s">
        <v>85</v>
      </c>
      <c r="X16" s="16" t="s">
        <v>105</v>
      </c>
      <c r="Y16" s="16" t="s">
        <v>106</v>
      </c>
      <c r="Z16" s="16" t="s">
        <v>89</v>
      </c>
    </row>
    <row r="17" spans="1:26" ht="57" customHeight="1">
      <c r="A17" s="16" t="s">
        <v>195</v>
      </c>
      <c r="B17" s="16" t="s">
        <v>196</v>
      </c>
      <c r="C17" s="17" t="s">
        <v>197</v>
      </c>
      <c r="D17" s="29" t="s">
        <v>1486</v>
      </c>
      <c r="E17" s="29" t="s">
        <v>198</v>
      </c>
      <c r="F17" s="16" t="s">
        <v>199</v>
      </c>
      <c r="G17" s="16">
        <v>687200000000000</v>
      </c>
      <c r="H17" s="16" t="s">
        <v>200</v>
      </c>
      <c r="I17" s="16" t="s">
        <v>1554</v>
      </c>
      <c r="J17" s="19">
        <v>497.97101449275402</v>
      </c>
      <c r="K17" s="16" t="s">
        <v>119</v>
      </c>
      <c r="L17" s="18" t="s">
        <v>81</v>
      </c>
      <c r="M17" s="16" t="s">
        <v>1555</v>
      </c>
      <c r="N17" s="16" t="s">
        <v>1556</v>
      </c>
      <c r="O17" s="16" t="s">
        <v>201</v>
      </c>
      <c r="P17" s="16"/>
      <c r="Q17" s="16" t="s">
        <v>1518</v>
      </c>
      <c r="R17" s="16" t="s">
        <v>1557</v>
      </c>
      <c r="S17" s="16" t="s">
        <v>253</v>
      </c>
      <c r="T17" s="16" t="s">
        <v>1484</v>
      </c>
      <c r="U17" s="17" t="s">
        <v>1558</v>
      </c>
      <c r="V17" s="16" t="s">
        <v>186</v>
      </c>
      <c r="W17" s="16" t="s">
        <v>187</v>
      </c>
      <c r="X17" s="16" t="s">
        <v>188</v>
      </c>
      <c r="Y17" s="16" t="s">
        <v>189</v>
      </c>
      <c r="Z17" s="16" t="s">
        <v>190</v>
      </c>
    </row>
    <row r="18" spans="1:26" ht="71.25" customHeight="1">
      <c r="A18" s="16" t="s">
        <v>208</v>
      </c>
      <c r="B18" s="16" t="s">
        <v>37</v>
      </c>
      <c r="C18" s="17" t="s">
        <v>209</v>
      </c>
      <c r="D18" s="29" t="s">
        <v>1486</v>
      </c>
      <c r="E18" s="29" t="s">
        <v>210</v>
      </c>
      <c r="F18" s="16" t="s">
        <v>211</v>
      </c>
      <c r="G18" s="16">
        <v>2030654000000</v>
      </c>
      <c r="H18" s="16" t="s">
        <v>212</v>
      </c>
      <c r="I18" s="16" t="s">
        <v>1559</v>
      </c>
      <c r="J18" s="19">
        <v>62.481661538461502</v>
      </c>
      <c r="K18" s="16" t="s">
        <v>132</v>
      </c>
      <c r="L18" s="18" t="s">
        <v>81</v>
      </c>
      <c r="M18" s="16" t="s">
        <v>1560</v>
      </c>
      <c r="N18" s="17" t="s">
        <v>1561</v>
      </c>
      <c r="O18" s="16" t="s">
        <v>213</v>
      </c>
      <c r="P18" s="16"/>
      <c r="Q18" s="16" t="s">
        <v>1562</v>
      </c>
      <c r="R18" s="16" t="s">
        <v>1563</v>
      </c>
      <c r="S18" s="16" t="s">
        <v>253</v>
      </c>
      <c r="T18" s="16" t="s">
        <v>1484</v>
      </c>
      <c r="U18" s="17" t="s">
        <v>1564</v>
      </c>
      <c r="V18" s="16" t="s">
        <v>186</v>
      </c>
      <c r="W18" s="16" t="s">
        <v>187</v>
      </c>
      <c r="X18" s="16"/>
      <c r="Y18" s="16"/>
      <c r="Z18" s="16" t="s">
        <v>89</v>
      </c>
    </row>
    <row r="19" spans="1:26" ht="85.5" customHeight="1">
      <c r="A19" s="16" t="s">
        <v>896</v>
      </c>
      <c r="B19" s="16" t="s">
        <v>897</v>
      </c>
      <c r="C19" s="17" t="s">
        <v>898</v>
      </c>
      <c r="D19" s="29" t="s">
        <v>1486</v>
      </c>
      <c r="E19" s="29" t="s">
        <v>899</v>
      </c>
      <c r="F19" s="16" t="s">
        <v>900</v>
      </c>
      <c r="G19" s="16">
        <v>748476800000</v>
      </c>
      <c r="H19" s="16" t="s">
        <v>901</v>
      </c>
      <c r="I19" s="16" t="s">
        <v>1565</v>
      </c>
      <c r="J19" s="19">
        <v>95.958564102564097</v>
      </c>
      <c r="K19" s="16" t="s">
        <v>119</v>
      </c>
      <c r="L19" s="18" t="s">
        <v>81</v>
      </c>
      <c r="M19" s="16" t="s">
        <v>1566</v>
      </c>
      <c r="N19" s="16" t="s">
        <v>1567</v>
      </c>
      <c r="O19" s="16" t="s">
        <v>902</v>
      </c>
      <c r="P19" s="16"/>
      <c r="Q19" s="16" t="s">
        <v>1568</v>
      </c>
      <c r="R19" s="16" t="s">
        <v>1569</v>
      </c>
      <c r="S19" s="16" t="s">
        <v>253</v>
      </c>
      <c r="T19" s="16" t="s">
        <v>1484</v>
      </c>
      <c r="U19" s="17" t="s">
        <v>1570</v>
      </c>
      <c r="V19" s="16" t="s">
        <v>186</v>
      </c>
      <c r="W19" s="16" t="s">
        <v>187</v>
      </c>
      <c r="X19" s="16" t="s">
        <v>188</v>
      </c>
      <c r="Y19" s="16" t="s">
        <v>189</v>
      </c>
      <c r="Z19" s="16" t="s">
        <v>89</v>
      </c>
    </row>
    <row r="20" spans="1:26" ht="57" customHeight="1">
      <c r="A20" s="16" t="s">
        <v>152</v>
      </c>
      <c r="B20" s="16" t="s">
        <v>35</v>
      </c>
      <c r="C20" s="17" t="s">
        <v>153</v>
      </c>
      <c r="D20" s="29" t="s">
        <v>1486</v>
      </c>
      <c r="E20" s="29" t="s">
        <v>154</v>
      </c>
      <c r="F20" s="16" t="s">
        <v>155</v>
      </c>
      <c r="G20" s="16">
        <v>2349000000000</v>
      </c>
      <c r="H20" s="16" t="s">
        <v>156</v>
      </c>
      <c r="I20" s="16" t="s">
        <v>1571</v>
      </c>
      <c r="J20" s="19">
        <v>40.5</v>
      </c>
      <c r="K20" s="16" t="s">
        <v>157</v>
      </c>
      <c r="L20" s="18" t="s">
        <v>81</v>
      </c>
      <c r="M20" s="16" t="s">
        <v>1572</v>
      </c>
      <c r="N20" s="16" t="s">
        <v>1573</v>
      </c>
      <c r="O20" s="16" t="s">
        <v>158</v>
      </c>
      <c r="P20" s="16"/>
      <c r="Q20" s="16" t="s">
        <v>1482</v>
      </c>
      <c r="R20" s="16" t="s">
        <v>1574</v>
      </c>
      <c r="S20" s="16" t="s">
        <v>253</v>
      </c>
      <c r="T20" s="16" t="s">
        <v>1484</v>
      </c>
      <c r="U20" s="17" t="s">
        <v>1575</v>
      </c>
      <c r="V20" s="16" t="s">
        <v>84</v>
      </c>
      <c r="W20" s="16" t="s">
        <v>85</v>
      </c>
      <c r="X20" s="16" t="s">
        <v>105</v>
      </c>
      <c r="Y20" s="16" t="s">
        <v>106</v>
      </c>
      <c r="Z20" s="16" t="s">
        <v>89</v>
      </c>
    </row>
    <row r="21" spans="1:26" ht="57" customHeight="1">
      <c r="A21" s="16" t="s">
        <v>233</v>
      </c>
      <c r="B21" s="16" t="s">
        <v>36</v>
      </c>
      <c r="C21" s="17" t="s">
        <v>234</v>
      </c>
      <c r="D21" s="29" t="s">
        <v>1486</v>
      </c>
      <c r="E21" s="29" t="s">
        <v>235</v>
      </c>
      <c r="F21" s="16" t="s">
        <v>236</v>
      </c>
      <c r="G21" s="16">
        <v>778000000000</v>
      </c>
      <c r="H21" s="16" t="s">
        <v>237</v>
      </c>
      <c r="I21" s="16" t="s">
        <v>1576</v>
      </c>
      <c r="J21" s="19">
        <v>2.80279559046041</v>
      </c>
      <c r="K21" s="16" t="s">
        <v>101</v>
      </c>
      <c r="L21" s="18" t="s">
        <v>81</v>
      </c>
      <c r="M21" s="16" t="s">
        <v>1577</v>
      </c>
      <c r="N21" s="16" t="s">
        <v>1578</v>
      </c>
      <c r="O21" s="16" t="s">
        <v>238</v>
      </c>
      <c r="P21" s="16"/>
      <c r="Q21" s="16" t="s">
        <v>1482</v>
      </c>
      <c r="R21" s="16" t="s">
        <v>1579</v>
      </c>
      <c r="S21" s="16" t="s">
        <v>253</v>
      </c>
      <c r="T21" s="16" t="s">
        <v>1484</v>
      </c>
      <c r="U21" s="17" t="s">
        <v>1580</v>
      </c>
      <c r="V21" s="16" t="s">
        <v>84</v>
      </c>
      <c r="W21" s="16" t="s">
        <v>85</v>
      </c>
      <c r="X21" s="16" t="s">
        <v>86</v>
      </c>
      <c r="Y21" s="16" t="s">
        <v>87</v>
      </c>
      <c r="Z21" s="16" t="s">
        <v>89</v>
      </c>
    </row>
    <row r="22" spans="1:26" ht="71.25" customHeight="1">
      <c r="A22" s="16" t="s">
        <v>340</v>
      </c>
      <c r="B22" s="16" t="s">
        <v>341</v>
      </c>
      <c r="C22" s="17" t="s">
        <v>342</v>
      </c>
      <c r="D22" s="29" t="s">
        <v>1486</v>
      </c>
      <c r="E22" s="29" t="s">
        <v>343</v>
      </c>
      <c r="F22" s="16" t="s">
        <v>344</v>
      </c>
      <c r="G22" s="16">
        <v>11600000000000</v>
      </c>
      <c r="H22" s="16" t="s">
        <v>345</v>
      </c>
      <c r="I22" s="16" t="s">
        <v>1581</v>
      </c>
      <c r="J22" s="19">
        <v>22.745098039215701</v>
      </c>
      <c r="K22" s="16" t="s">
        <v>101</v>
      </c>
      <c r="L22" s="18" t="s">
        <v>81</v>
      </c>
      <c r="M22" s="16" t="s">
        <v>1582</v>
      </c>
      <c r="N22" s="16" t="s">
        <v>1583</v>
      </c>
      <c r="O22" s="16" t="s">
        <v>346</v>
      </c>
      <c r="P22" s="16"/>
      <c r="Q22" s="16" t="s">
        <v>1482</v>
      </c>
      <c r="R22" s="16" t="s">
        <v>1584</v>
      </c>
      <c r="S22" s="16" t="s">
        <v>253</v>
      </c>
      <c r="T22" s="16" t="s">
        <v>1484</v>
      </c>
      <c r="U22" s="16" t="s">
        <v>1585</v>
      </c>
      <c r="V22" s="16" t="s">
        <v>84</v>
      </c>
      <c r="W22" s="16" t="s">
        <v>85</v>
      </c>
      <c r="X22" s="16" t="s">
        <v>105</v>
      </c>
      <c r="Y22" s="16" t="s">
        <v>106</v>
      </c>
      <c r="Z22" s="16" t="s">
        <v>89</v>
      </c>
    </row>
    <row r="23" spans="1:26" ht="71.25" customHeight="1">
      <c r="A23" s="16" t="s">
        <v>256</v>
      </c>
      <c r="B23" s="16" t="s">
        <v>257</v>
      </c>
      <c r="C23" s="17" t="s">
        <v>258</v>
      </c>
      <c r="D23" s="29" t="s">
        <v>1486</v>
      </c>
      <c r="E23" s="29" t="s">
        <v>259</v>
      </c>
      <c r="F23" s="16" t="s">
        <v>260</v>
      </c>
      <c r="G23" s="16">
        <v>278300000000</v>
      </c>
      <c r="H23" s="16" t="s">
        <v>261</v>
      </c>
      <c r="I23" s="16" t="s">
        <v>1586</v>
      </c>
      <c r="J23" s="19">
        <v>16.123986095017401</v>
      </c>
      <c r="K23" s="16" t="s">
        <v>101</v>
      </c>
      <c r="L23" s="18" t="s">
        <v>81</v>
      </c>
      <c r="M23" s="16" t="s">
        <v>1587</v>
      </c>
      <c r="N23" s="16" t="s">
        <v>1588</v>
      </c>
      <c r="O23" s="16" t="s">
        <v>262</v>
      </c>
      <c r="P23" s="16"/>
      <c r="Q23" s="16" t="s">
        <v>1482</v>
      </c>
      <c r="R23" s="16" t="s">
        <v>1589</v>
      </c>
      <c r="S23" s="16" t="s">
        <v>253</v>
      </c>
      <c r="T23" s="16" t="s">
        <v>1484</v>
      </c>
      <c r="U23" s="17" t="s">
        <v>1590</v>
      </c>
      <c r="V23" s="16" t="s">
        <v>84</v>
      </c>
      <c r="W23" s="16" t="s">
        <v>85</v>
      </c>
      <c r="X23" s="16" t="s">
        <v>105</v>
      </c>
      <c r="Y23" s="16" t="s">
        <v>106</v>
      </c>
      <c r="Z23" s="16" t="s">
        <v>190</v>
      </c>
    </row>
    <row r="24" spans="1:26" ht="57" customHeight="1">
      <c r="A24" s="16" t="s">
        <v>256</v>
      </c>
      <c r="B24" s="16" t="s">
        <v>257</v>
      </c>
      <c r="C24" s="17" t="s">
        <v>258</v>
      </c>
      <c r="D24" s="29" t="s">
        <v>1486</v>
      </c>
      <c r="E24" s="29" t="s">
        <v>1591</v>
      </c>
      <c r="F24" s="16" t="s">
        <v>1592</v>
      </c>
      <c r="G24" s="16">
        <v>1875700000000</v>
      </c>
      <c r="H24" s="16" t="s">
        <v>261</v>
      </c>
      <c r="I24" s="16" t="s">
        <v>1593</v>
      </c>
      <c r="J24" s="19">
        <v>108.673232908459</v>
      </c>
      <c r="K24" s="16" t="s">
        <v>101</v>
      </c>
      <c r="L24" s="18" t="s">
        <v>81</v>
      </c>
      <c r="M24" s="16" t="s">
        <v>1587</v>
      </c>
      <c r="N24" s="16" t="s">
        <v>1594</v>
      </c>
      <c r="O24" s="16" t="s">
        <v>262</v>
      </c>
      <c r="P24" s="16"/>
      <c r="Q24" s="16" t="s">
        <v>1482</v>
      </c>
      <c r="R24" s="16" t="s">
        <v>1595</v>
      </c>
      <c r="S24" s="16" t="s">
        <v>253</v>
      </c>
      <c r="T24" s="16" t="s">
        <v>1484</v>
      </c>
      <c r="U24" s="17" t="s">
        <v>1596</v>
      </c>
      <c r="V24" s="16" t="s">
        <v>84</v>
      </c>
      <c r="W24" s="16" t="s">
        <v>85</v>
      </c>
      <c r="X24" s="16" t="s">
        <v>105</v>
      </c>
      <c r="Y24" s="16" t="s">
        <v>106</v>
      </c>
      <c r="Z24" s="16" t="s">
        <v>190</v>
      </c>
    </row>
    <row r="25" spans="1:26" ht="57" customHeight="1">
      <c r="A25" s="16" t="s">
        <v>521</v>
      </c>
      <c r="B25" s="16" t="s">
        <v>522</v>
      </c>
      <c r="C25" s="17" t="s">
        <v>523</v>
      </c>
      <c r="D25" s="29" t="s">
        <v>1486</v>
      </c>
      <c r="E25" s="29" t="s">
        <v>524</v>
      </c>
      <c r="F25" s="16" t="s">
        <v>525</v>
      </c>
      <c r="G25" s="16">
        <v>3009600000</v>
      </c>
      <c r="H25" s="16" t="s">
        <v>221</v>
      </c>
      <c r="I25" s="16" t="s">
        <v>1597</v>
      </c>
      <c r="J25" s="19">
        <v>7.9830238726790501</v>
      </c>
      <c r="K25" s="16" t="s">
        <v>136</v>
      </c>
      <c r="L25" s="18" t="s">
        <v>81</v>
      </c>
      <c r="M25" s="16" t="s">
        <v>998</v>
      </c>
      <c r="N25" s="16" t="s">
        <v>1598</v>
      </c>
      <c r="O25" s="16" t="s">
        <v>526</v>
      </c>
      <c r="P25" s="16"/>
      <c r="Q25" s="16" t="s">
        <v>1482</v>
      </c>
      <c r="R25" s="16" t="s">
        <v>1599</v>
      </c>
      <c r="S25" s="16" t="s">
        <v>253</v>
      </c>
      <c r="T25" s="16" t="s">
        <v>1484</v>
      </c>
      <c r="U25" s="17" t="s">
        <v>1600</v>
      </c>
      <c r="V25" s="16" t="s">
        <v>84</v>
      </c>
      <c r="W25" s="16" t="s">
        <v>85</v>
      </c>
      <c r="X25" s="16" t="s">
        <v>188</v>
      </c>
      <c r="Y25" s="16" t="s">
        <v>189</v>
      </c>
      <c r="Z25" s="16" t="s">
        <v>89</v>
      </c>
    </row>
    <row r="26" spans="1:26" ht="57" customHeight="1">
      <c r="A26" s="16" t="s">
        <v>542</v>
      </c>
      <c r="B26" s="16" t="s">
        <v>543</v>
      </c>
      <c r="C26" s="17" t="s">
        <v>544</v>
      </c>
      <c r="D26" s="29" t="s">
        <v>1486</v>
      </c>
      <c r="E26" s="29" t="s">
        <v>545</v>
      </c>
      <c r="F26" s="16" t="s">
        <v>546</v>
      </c>
      <c r="G26" s="16">
        <v>2070200000</v>
      </c>
      <c r="H26" s="16" t="s">
        <v>547</v>
      </c>
      <c r="I26" s="16" t="s">
        <v>1601</v>
      </c>
      <c r="J26" s="19">
        <v>6.7214285714285698</v>
      </c>
      <c r="K26" s="16" t="s">
        <v>548</v>
      </c>
      <c r="L26" s="18" t="s">
        <v>81</v>
      </c>
      <c r="M26" s="16" t="s">
        <v>964</v>
      </c>
      <c r="N26" s="16" t="s">
        <v>1602</v>
      </c>
      <c r="O26" s="16" t="s">
        <v>549</v>
      </c>
      <c r="P26" s="16"/>
      <c r="Q26" s="16" t="s">
        <v>1507</v>
      </c>
      <c r="R26" s="16" t="s">
        <v>1603</v>
      </c>
      <c r="S26" s="16" t="s">
        <v>253</v>
      </c>
      <c r="T26" s="16" t="s">
        <v>1484</v>
      </c>
      <c r="U26" s="17" t="s">
        <v>1604</v>
      </c>
      <c r="V26" s="16" t="s">
        <v>84</v>
      </c>
      <c r="W26" s="16" t="s">
        <v>85</v>
      </c>
      <c r="X26" s="16" t="s">
        <v>188</v>
      </c>
      <c r="Y26" s="16" t="s">
        <v>189</v>
      </c>
      <c r="Z26" s="16" t="s">
        <v>89</v>
      </c>
    </row>
    <row r="27" spans="1:26" ht="57" customHeight="1">
      <c r="A27" s="16" t="s">
        <v>605</v>
      </c>
      <c r="B27" s="16" t="s">
        <v>606</v>
      </c>
      <c r="C27" s="17" t="s">
        <v>607</v>
      </c>
      <c r="D27" s="29" t="s">
        <v>1486</v>
      </c>
      <c r="E27" s="29" t="s">
        <v>608</v>
      </c>
      <c r="F27" s="16" t="s">
        <v>609</v>
      </c>
      <c r="G27" s="16">
        <v>2407042000000</v>
      </c>
      <c r="H27" s="16" t="s">
        <v>610</v>
      </c>
      <c r="I27" s="16" t="s">
        <v>1605</v>
      </c>
      <c r="J27" s="19">
        <v>53.264925868554997</v>
      </c>
      <c r="K27" s="16" t="s">
        <v>611</v>
      </c>
      <c r="L27" s="18" t="s">
        <v>81</v>
      </c>
      <c r="M27" s="16" t="s">
        <v>1013</v>
      </c>
      <c r="N27" s="16" t="s">
        <v>1606</v>
      </c>
      <c r="O27" s="16" t="s">
        <v>612</v>
      </c>
      <c r="P27" s="16"/>
      <c r="Q27" s="16" t="s">
        <v>1507</v>
      </c>
      <c r="R27" s="16" t="s">
        <v>1607</v>
      </c>
      <c r="S27" s="16" t="s">
        <v>253</v>
      </c>
      <c r="T27" s="16" t="s">
        <v>1484</v>
      </c>
      <c r="U27" s="17" t="s">
        <v>1608</v>
      </c>
      <c r="V27" s="16" t="s">
        <v>84</v>
      </c>
      <c r="W27" s="16" t="s">
        <v>85</v>
      </c>
      <c r="X27" s="16" t="s">
        <v>105</v>
      </c>
      <c r="Y27" s="16" t="s">
        <v>106</v>
      </c>
      <c r="Z27" s="16" t="s">
        <v>190</v>
      </c>
    </row>
    <row r="28" spans="1:26" ht="71.25" customHeight="1">
      <c r="A28" s="16" t="s">
        <v>308</v>
      </c>
      <c r="B28" s="16" t="s">
        <v>309</v>
      </c>
      <c r="C28" s="17" t="s">
        <v>310</v>
      </c>
      <c r="D28" s="29" t="s">
        <v>1486</v>
      </c>
      <c r="E28" s="29" t="s">
        <v>311</v>
      </c>
      <c r="F28" s="16" t="s">
        <v>312</v>
      </c>
      <c r="G28" s="16">
        <v>3783400000000</v>
      </c>
      <c r="H28" s="16" t="s">
        <v>313</v>
      </c>
      <c r="I28" s="16" t="s">
        <v>1609</v>
      </c>
      <c r="J28" s="19">
        <v>2.52226666666667</v>
      </c>
      <c r="K28" s="16" t="s">
        <v>101</v>
      </c>
      <c r="L28" s="18" t="s">
        <v>81</v>
      </c>
      <c r="M28" s="16" t="s">
        <v>1610</v>
      </c>
      <c r="N28" s="16" t="s">
        <v>1611</v>
      </c>
      <c r="O28" s="16" t="s">
        <v>314</v>
      </c>
      <c r="P28" s="16"/>
      <c r="Q28" s="16" t="s">
        <v>1482</v>
      </c>
      <c r="R28" s="16" t="s">
        <v>1612</v>
      </c>
      <c r="S28" s="16" t="s">
        <v>253</v>
      </c>
      <c r="T28" s="16" t="s">
        <v>1484</v>
      </c>
      <c r="U28" s="16" t="s">
        <v>1613</v>
      </c>
      <c r="V28" s="16" t="s">
        <v>84</v>
      </c>
      <c r="W28" s="16" t="s">
        <v>85</v>
      </c>
      <c r="X28" s="16" t="s">
        <v>86</v>
      </c>
      <c r="Y28" s="16" t="s">
        <v>87</v>
      </c>
      <c r="Z28" s="16" t="s">
        <v>89</v>
      </c>
    </row>
    <row r="29" spans="1:26" ht="57" customHeight="1">
      <c r="A29" s="16" t="s">
        <v>270</v>
      </c>
      <c r="B29" s="16" t="s">
        <v>271</v>
      </c>
      <c r="C29" s="17" t="s">
        <v>272</v>
      </c>
      <c r="D29" s="29" t="s">
        <v>1486</v>
      </c>
      <c r="E29" s="29" t="s">
        <v>273</v>
      </c>
      <c r="F29" s="16" t="s">
        <v>274</v>
      </c>
      <c r="G29" s="16">
        <v>1182697000000</v>
      </c>
      <c r="H29" s="16" t="s">
        <v>275</v>
      </c>
      <c r="I29" s="16" t="s">
        <v>1614</v>
      </c>
      <c r="J29" s="19">
        <v>215.035818181818</v>
      </c>
      <c r="K29" s="16" t="s">
        <v>132</v>
      </c>
      <c r="L29" s="18" t="s">
        <v>81</v>
      </c>
      <c r="M29" s="16" t="s">
        <v>1615</v>
      </c>
      <c r="N29" s="16" t="s">
        <v>1616</v>
      </c>
      <c r="O29" s="16" t="s">
        <v>276</v>
      </c>
      <c r="P29" s="16"/>
      <c r="Q29" s="16" t="s">
        <v>1617</v>
      </c>
      <c r="R29" s="16" t="s">
        <v>1618</v>
      </c>
      <c r="S29" s="16" t="s">
        <v>253</v>
      </c>
      <c r="T29" s="16" t="s">
        <v>1484</v>
      </c>
      <c r="U29" s="16" t="s">
        <v>1619</v>
      </c>
      <c r="V29" s="16" t="s">
        <v>84</v>
      </c>
      <c r="W29" s="16" t="s">
        <v>85</v>
      </c>
      <c r="X29" s="16" t="s">
        <v>105</v>
      </c>
      <c r="Y29" s="16" t="s">
        <v>106</v>
      </c>
      <c r="Z29" s="16" t="s">
        <v>89</v>
      </c>
    </row>
    <row r="30" spans="1:26" ht="57" customHeight="1">
      <c r="A30" s="16" t="s">
        <v>790</v>
      </c>
      <c r="B30" s="16" t="s">
        <v>791</v>
      </c>
      <c r="C30" s="17" t="s">
        <v>792</v>
      </c>
      <c r="D30" s="29" t="s">
        <v>1486</v>
      </c>
      <c r="E30" s="29" t="s">
        <v>1620</v>
      </c>
      <c r="F30" s="16" t="s">
        <v>1621</v>
      </c>
      <c r="G30" s="16">
        <v>5166900000000</v>
      </c>
      <c r="H30" s="16" t="s">
        <v>559</v>
      </c>
      <c r="I30" s="16" t="s">
        <v>1622</v>
      </c>
      <c r="J30" s="19">
        <v>5166.8999999999996</v>
      </c>
      <c r="K30" s="16" t="s">
        <v>132</v>
      </c>
      <c r="L30" s="18" t="s">
        <v>81</v>
      </c>
      <c r="M30" s="16" t="s">
        <v>1050</v>
      </c>
      <c r="N30" s="16" t="s">
        <v>1623</v>
      </c>
      <c r="O30" s="16" t="s">
        <v>1624</v>
      </c>
      <c r="P30" s="16"/>
      <c r="Q30" s="16" t="s">
        <v>1493</v>
      </c>
      <c r="R30" s="16" t="s">
        <v>1625</v>
      </c>
      <c r="S30" s="16" t="s">
        <v>253</v>
      </c>
      <c r="T30" s="16" t="s">
        <v>1484</v>
      </c>
      <c r="U30" s="17" t="s">
        <v>1626</v>
      </c>
      <c r="V30" s="16" t="s">
        <v>186</v>
      </c>
      <c r="W30" s="16" t="s">
        <v>187</v>
      </c>
      <c r="X30" s="16" t="s">
        <v>188</v>
      </c>
      <c r="Y30" s="16" t="s">
        <v>189</v>
      </c>
      <c r="Z30" s="16" t="s">
        <v>190</v>
      </c>
    </row>
    <row r="31" spans="1:26" ht="85.5" customHeight="1">
      <c r="A31" s="16" t="s">
        <v>790</v>
      </c>
      <c r="B31" s="16" t="s">
        <v>791</v>
      </c>
      <c r="C31" s="17" t="s">
        <v>792</v>
      </c>
      <c r="D31" s="27" t="s">
        <v>1478</v>
      </c>
      <c r="E31" s="27" t="s">
        <v>1627</v>
      </c>
      <c r="F31" s="16" t="s">
        <v>1628</v>
      </c>
      <c r="G31" s="16">
        <v>699500000000</v>
      </c>
      <c r="H31" s="16" t="s">
        <v>559</v>
      </c>
      <c r="I31" s="16" t="s">
        <v>1622</v>
      </c>
      <c r="J31" s="19">
        <v>699.5</v>
      </c>
      <c r="K31" s="16" t="s">
        <v>132</v>
      </c>
      <c r="L31" s="18" t="s">
        <v>81</v>
      </c>
      <c r="M31" s="16" t="s">
        <v>1050</v>
      </c>
      <c r="N31" s="16" t="s">
        <v>1629</v>
      </c>
      <c r="O31" s="16" t="s">
        <v>1624</v>
      </c>
      <c r="P31" s="16"/>
      <c r="Q31" s="16" t="s">
        <v>1493</v>
      </c>
      <c r="R31" s="16" t="s">
        <v>1630</v>
      </c>
      <c r="S31" s="16" t="s">
        <v>253</v>
      </c>
      <c r="T31" s="16" t="s">
        <v>1484</v>
      </c>
      <c r="U31" s="17" t="s">
        <v>1631</v>
      </c>
      <c r="V31" s="16" t="s">
        <v>186</v>
      </c>
      <c r="W31" s="16" t="s">
        <v>187</v>
      </c>
      <c r="X31" s="16" t="s">
        <v>188</v>
      </c>
      <c r="Y31" s="16" t="s">
        <v>189</v>
      </c>
      <c r="Z31" s="16" t="s">
        <v>190</v>
      </c>
    </row>
    <row r="32" spans="1:26" ht="57" customHeight="1">
      <c r="A32" s="16" t="s">
        <v>413</v>
      </c>
      <c r="B32" s="16" t="s">
        <v>414</v>
      </c>
      <c r="C32" s="17" t="s">
        <v>415</v>
      </c>
      <c r="D32" s="29" t="s">
        <v>1486</v>
      </c>
      <c r="E32" s="29" t="s">
        <v>416</v>
      </c>
      <c r="F32" s="16" t="s">
        <v>417</v>
      </c>
      <c r="G32" s="16">
        <v>114292000000</v>
      </c>
      <c r="H32" s="16" t="s">
        <v>418</v>
      </c>
      <c r="I32" s="16" t="s">
        <v>1632</v>
      </c>
      <c r="J32" s="19">
        <v>30.889729729729702</v>
      </c>
      <c r="K32" s="16" t="s">
        <v>132</v>
      </c>
      <c r="L32" s="18" t="s">
        <v>81</v>
      </c>
      <c r="M32" s="16" t="s">
        <v>1633</v>
      </c>
      <c r="N32" s="16" t="s">
        <v>1634</v>
      </c>
      <c r="O32" s="16" t="s">
        <v>419</v>
      </c>
      <c r="P32" s="16"/>
      <c r="Q32" s="16" t="s">
        <v>1507</v>
      </c>
      <c r="R32" s="16" t="s">
        <v>1635</v>
      </c>
      <c r="S32" s="16" t="s">
        <v>253</v>
      </c>
      <c r="T32" s="16" t="s">
        <v>1484</v>
      </c>
      <c r="U32" s="16" t="s">
        <v>1636</v>
      </c>
      <c r="V32" s="16" t="s">
        <v>84</v>
      </c>
      <c r="W32" s="16" t="s">
        <v>85</v>
      </c>
      <c r="X32" s="16" t="s">
        <v>105</v>
      </c>
      <c r="Y32" s="16" t="s">
        <v>106</v>
      </c>
      <c r="Z32" s="16" t="s">
        <v>89</v>
      </c>
    </row>
    <row r="33" spans="1:26" ht="99.75" customHeight="1">
      <c r="A33" s="16" t="s">
        <v>401</v>
      </c>
      <c r="B33" s="16" t="s">
        <v>402</v>
      </c>
      <c r="C33" s="17" t="s">
        <v>403</v>
      </c>
      <c r="D33" s="29" t="s">
        <v>1486</v>
      </c>
      <c r="E33" s="29" t="s">
        <v>404</v>
      </c>
      <c r="F33" s="16" t="s">
        <v>405</v>
      </c>
      <c r="G33" s="16">
        <v>21062000000000</v>
      </c>
      <c r="H33" s="16" t="s">
        <v>406</v>
      </c>
      <c r="I33" s="16" t="s">
        <v>1637</v>
      </c>
      <c r="J33" s="19">
        <v>17.551666666666701</v>
      </c>
      <c r="K33" s="16" t="s">
        <v>407</v>
      </c>
      <c r="L33" s="18" t="s">
        <v>81</v>
      </c>
      <c r="M33" s="16" t="s">
        <v>981</v>
      </c>
      <c r="N33" s="16" t="s">
        <v>1638</v>
      </c>
      <c r="O33" s="16" t="s">
        <v>408</v>
      </c>
      <c r="P33" s="16"/>
      <c r="Q33" s="16" t="s">
        <v>1482</v>
      </c>
      <c r="R33" s="16" t="s">
        <v>1639</v>
      </c>
      <c r="S33" s="16" t="s">
        <v>253</v>
      </c>
      <c r="T33" s="16" t="s">
        <v>1484</v>
      </c>
      <c r="U33" s="17" t="s">
        <v>1640</v>
      </c>
      <c r="V33" s="16" t="s">
        <v>84</v>
      </c>
      <c r="W33" s="16" t="s">
        <v>85</v>
      </c>
      <c r="X33" s="16" t="s">
        <v>105</v>
      </c>
      <c r="Y33" s="16" t="s">
        <v>106</v>
      </c>
      <c r="Z33" s="16" t="s">
        <v>89</v>
      </c>
    </row>
    <row r="34" spans="1:26" ht="71.25" customHeight="1">
      <c r="A34" s="16" t="s">
        <v>423</v>
      </c>
      <c r="B34" s="16" t="s">
        <v>424</v>
      </c>
      <c r="C34" s="17" t="s">
        <v>425</v>
      </c>
      <c r="D34" s="29" t="s">
        <v>1486</v>
      </c>
      <c r="E34" s="29" t="s">
        <v>426</v>
      </c>
      <c r="F34" s="16" t="s">
        <v>427</v>
      </c>
      <c r="G34" s="16">
        <v>21536300000000</v>
      </c>
      <c r="H34" s="16" t="s">
        <v>428</v>
      </c>
      <c r="I34" s="16" t="s">
        <v>1641</v>
      </c>
      <c r="J34" s="19">
        <v>22.669789473684201</v>
      </c>
      <c r="K34" s="16" t="s">
        <v>429</v>
      </c>
      <c r="L34" s="18" t="s">
        <v>81</v>
      </c>
      <c r="M34" s="16" t="s">
        <v>1642</v>
      </c>
      <c r="N34" s="16" t="s">
        <v>1643</v>
      </c>
      <c r="O34" s="16" t="s">
        <v>430</v>
      </c>
      <c r="P34" s="16"/>
      <c r="Q34" s="16" t="s">
        <v>1507</v>
      </c>
      <c r="R34" s="16" t="s">
        <v>1644</v>
      </c>
      <c r="S34" s="16" t="s">
        <v>253</v>
      </c>
      <c r="T34" s="16" t="s">
        <v>1484</v>
      </c>
      <c r="U34" s="16" t="s">
        <v>1645</v>
      </c>
      <c r="V34" s="16" t="s">
        <v>84</v>
      </c>
      <c r="W34" s="16" t="s">
        <v>85</v>
      </c>
      <c r="X34" s="16" t="s">
        <v>188</v>
      </c>
      <c r="Y34" s="16" t="s">
        <v>189</v>
      </c>
      <c r="Z34" s="16" t="s">
        <v>190</v>
      </c>
    </row>
    <row r="35" spans="1:26" ht="99.75" customHeight="1">
      <c r="A35" s="16" t="s">
        <v>436</v>
      </c>
      <c r="B35" s="16" t="s">
        <v>437</v>
      </c>
      <c r="C35" s="17" t="s">
        <v>438</v>
      </c>
      <c r="D35" s="25" t="s">
        <v>1501</v>
      </c>
      <c r="E35" s="25" t="s">
        <v>439</v>
      </c>
      <c r="F35" s="16" t="s">
        <v>440</v>
      </c>
      <c r="G35" s="16">
        <v>96300000000</v>
      </c>
      <c r="H35" s="16" t="s">
        <v>441</v>
      </c>
      <c r="I35" s="16" t="s">
        <v>1646</v>
      </c>
      <c r="J35" s="19">
        <v>2.0062500000000001</v>
      </c>
      <c r="K35" s="16" t="s">
        <v>101</v>
      </c>
      <c r="L35" s="20" t="s">
        <v>102</v>
      </c>
      <c r="M35" s="16" t="s">
        <v>1647</v>
      </c>
      <c r="N35" s="16" t="s">
        <v>1648</v>
      </c>
      <c r="O35" s="16" t="s">
        <v>442</v>
      </c>
      <c r="P35" s="16"/>
      <c r="Q35" s="16" t="s">
        <v>1649</v>
      </c>
      <c r="R35" s="16" t="s">
        <v>1650</v>
      </c>
      <c r="S35" s="16" t="s">
        <v>253</v>
      </c>
      <c r="T35" s="16" t="s">
        <v>1484</v>
      </c>
      <c r="U35" s="17" t="s">
        <v>1651</v>
      </c>
      <c r="V35" s="16" t="s">
        <v>84</v>
      </c>
      <c r="W35" s="16" t="s">
        <v>85</v>
      </c>
      <c r="X35" s="16" t="s">
        <v>86</v>
      </c>
      <c r="Y35" s="16" t="s">
        <v>87</v>
      </c>
      <c r="Z35" s="16" t="s">
        <v>89</v>
      </c>
    </row>
    <row r="36" spans="1:26" ht="99.75" customHeight="1">
      <c r="A36" s="16" t="s">
        <v>790</v>
      </c>
      <c r="B36" s="16" t="s">
        <v>791</v>
      </c>
      <c r="C36" s="17" t="s">
        <v>792</v>
      </c>
      <c r="D36" s="25" t="s">
        <v>1501</v>
      </c>
      <c r="E36" s="25" t="s">
        <v>793</v>
      </c>
      <c r="F36" s="16" t="s">
        <v>794</v>
      </c>
      <c r="G36" s="16">
        <v>924000000000</v>
      </c>
      <c r="H36" s="16" t="s">
        <v>559</v>
      </c>
      <c r="I36" s="16" t="s">
        <v>1622</v>
      </c>
      <c r="J36" s="19">
        <v>924</v>
      </c>
      <c r="K36" s="16" t="s">
        <v>795</v>
      </c>
      <c r="L36" s="18" t="s">
        <v>81</v>
      </c>
      <c r="M36" s="16" t="s">
        <v>1050</v>
      </c>
      <c r="N36" s="16" t="s">
        <v>1652</v>
      </c>
      <c r="O36" s="16" t="s">
        <v>796</v>
      </c>
      <c r="P36" s="16"/>
      <c r="Q36" s="16" t="s">
        <v>1493</v>
      </c>
      <c r="R36" s="16" t="s">
        <v>1653</v>
      </c>
      <c r="S36" s="16" t="s">
        <v>253</v>
      </c>
      <c r="T36" s="16" t="s">
        <v>1484</v>
      </c>
      <c r="U36" s="17" t="s">
        <v>1654</v>
      </c>
      <c r="V36" s="16" t="s">
        <v>186</v>
      </c>
      <c r="W36" s="16" t="s">
        <v>187</v>
      </c>
      <c r="X36" s="16" t="s">
        <v>188</v>
      </c>
      <c r="Y36" s="16" t="s">
        <v>189</v>
      </c>
      <c r="Z36" s="16" t="s">
        <v>190</v>
      </c>
    </row>
    <row r="37" spans="1:26" ht="85.5" customHeight="1">
      <c r="A37" s="16" t="s">
        <v>803</v>
      </c>
      <c r="B37" s="16" t="s">
        <v>804</v>
      </c>
      <c r="C37" s="17" t="s">
        <v>805</v>
      </c>
      <c r="D37" s="29" t="s">
        <v>1486</v>
      </c>
      <c r="E37" s="29" t="s">
        <v>806</v>
      </c>
      <c r="F37" s="16" t="s">
        <v>807</v>
      </c>
      <c r="G37" s="16">
        <v>827701000000</v>
      </c>
      <c r="H37" s="16" t="s">
        <v>808</v>
      </c>
      <c r="I37" s="16" t="s">
        <v>1655</v>
      </c>
      <c r="J37" s="19">
        <v>604.16131386861298</v>
      </c>
      <c r="K37" s="16" t="s">
        <v>795</v>
      </c>
      <c r="L37" s="18" t="s">
        <v>81</v>
      </c>
      <c r="M37" s="16" t="s">
        <v>1656</v>
      </c>
      <c r="N37" s="16" t="s">
        <v>1657</v>
      </c>
      <c r="O37" s="16" t="s">
        <v>809</v>
      </c>
      <c r="P37" s="16" t="s">
        <v>810</v>
      </c>
      <c r="Q37" s="16" t="s">
        <v>1658</v>
      </c>
      <c r="R37" s="16" t="s">
        <v>1659</v>
      </c>
      <c r="S37" s="16" t="s">
        <v>253</v>
      </c>
      <c r="T37" s="16" t="s">
        <v>1484</v>
      </c>
      <c r="U37" s="16" t="s">
        <v>1660</v>
      </c>
      <c r="V37" s="16" t="s">
        <v>186</v>
      </c>
      <c r="W37" s="16" t="s">
        <v>187</v>
      </c>
      <c r="X37" s="16" t="s">
        <v>188</v>
      </c>
      <c r="Y37" s="16" t="s">
        <v>189</v>
      </c>
      <c r="Z37" s="16" t="s">
        <v>190</v>
      </c>
    </row>
    <row r="38" spans="1:26" ht="99.75" customHeight="1">
      <c r="A38" s="16" t="s">
        <v>815</v>
      </c>
      <c r="B38" s="16" t="s">
        <v>816</v>
      </c>
      <c r="C38" s="17" t="s">
        <v>817</v>
      </c>
      <c r="D38" s="29" t="s">
        <v>1486</v>
      </c>
      <c r="E38" s="29" t="s">
        <v>818</v>
      </c>
      <c r="F38" s="16" t="s">
        <v>818</v>
      </c>
      <c r="G38" s="16">
        <v>256333000000</v>
      </c>
      <c r="H38" s="16" t="s">
        <v>819</v>
      </c>
      <c r="I38" s="16" t="s">
        <v>1661</v>
      </c>
      <c r="J38" s="19">
        <v>328.63205128205101</v>
      </c>
      <c r="K38" s="16" t="s">
        <v>132</v>
      </c>
      <c r="L38" s="18" t="s">
        <v>81</v>
      </c>
      <c r="M38" s="16" t="s">
        <v>1662</v>
      </c>
      <c r="N38" s="16" t="s">
        <v>1663</v>
      </c>
      <c r="O38" s="16" t="s">
        <v>820</v>
      </c>
      <c r="P38" s="16" t="s">
        <v>821</v>
      </c>
      <c r="Q38" s="16" t="s">
        <v>1551</v>
      </c>
      <c r="R38" s="16" t="s">
        <v>1664</v>
      </c>
      <c r="S38" s="16" t="s">
        <v>253</v>
      </c>
      <c r="T38" s="16" t="s">
        <v>1484</v>
      </c>
      <c r="U38" s="16" t="s">
        <v>1665</v>
      </c>
      <c r="V38" s="16" t="s">
        <v>186</v>
      </c>
      <c r="W38" s="16" t="s">
        <v>187</v>
      </c>
      <c r="X38" s="16" t="s">
        <v>188</v>
      </c>
      <c r="Y38" s="16" t="s">
        <v>189</v>
      </c>
      <c r="Z38" s="16" t="s">
        <v>190</v>
      </c>
    </row>
    <row r="39" spans="1:26" ht="57" customHeight="1">
      <c r="A39" s="16" t="s">
        <v>826</v>
      </c>
      <c r="B39" s="16" t="s">
        <v>827</v>
      </c>
      <c r="C39" s="17" t="s">
        <v>828</v>
      </c>
      <c r="D39" s="29" t="s">
        <v>1486</v>
      </c>
      <c r="E39" s="29" t="s">
        <v>829</v>
      </c>
      <c r="F39" s="16" t="s">
        <v>829</v>
      </c>
      <c r="G39" s="16">
        <v>204411000000</v>
      </c>
      <c r="H39" s="16" t="s">
        <v>830</v>
      </c>
      <c r="I39" s="16" t="s">
        <v>1666</v>
      </c>
      <c r="J39" s="19">
        <v>222.80798999999999</v>
      </c>
      <c r="K39" s="16" t="s">
        <v>132</v>
      </c>
      <c r="L39" s="18" t="s">
        <v>81</v>
      </c>
      <c r="M39" s="16" t="s">
        <v>1667</v>
      </c>
      <c r="N39" s="16" t="s">
        <v>1668</v>
      </c>
      <c r="O39" s="16" t="s">
        <v>831</v>
      </c>
      <c r="P39" s="16"/>
      <c r="Q39" s="16" t="s">
        <v>1617</v>
      </c>
      <c r="R39" s="16" t="s">
        <v>1669</v>
      </c>
      <c r="S39" s="16" t="s">
        <v>253</v>
      </c>
      <c r="T39" s="16" t="s">
        <v>1484</v>
      </c>
      <c r="U39" s="16" t="s">
        <v>1670</v>
      </c>
      <c r="V39" s="16" t="s">
        <v>186</v>
      </c>
      <c r="W39" s="16" t="s">
        <v>187</v>
      </c>
      <c r="X39" s="16" t="s">
        <v>188</v>
      </c>
      <c r="Y39" s="16" t="s">
        <v>189</v>
      </c>
      <c r="Z39" s="16" t="s">
        <v>190</v>
      </c>
    </row>
    <row r="40" spans="1:26" ht="57" customHeight="1">
      <c r="A40" s="16" t="s">
        <v>836</v>
      </c>
      <c r="B40" s="16" t="s">
        <v>837</v>
      </c>
      <c r="C40" s="17" t="s">
        <v>838</v>
      </c>
      <c r="D40" s="29" t="s">
        <v>1486</v>
      </c>
      <c r="E40" s="29" t="s">
        <v>829</v>
      </c>
      <c r="F40" s="16" t="s">
        <v>829</v>
      </c>
      <c r="G40" s="16">
        <v>206339000000</v>
      </c>
      <c r="H40" s="16" t="s">
        <v>830</v>
      </c>
      <c r="I40" s="16" t="s">
        <v>1666</v>
      </c>
      <c r="J40" s="19">
        <v>224.90951000000001</v>
      </c>
      <c r="K40" s="16" t="s">
        <v>132</v>
      </c>
      <c r="L40" s="18" t="s">
        <v>81</v>
      </c>
      <c r="M40" s="16" t="s">
        <v>1667</v>
      </c>
      <c r="N40" s="16" t="s">
        <v>1671</v>
      </c>
      <c r="O40" s="16" t="s">
        <v>839</v>
      </c>
      <c r="P40" s="16"/>
      <c r="Q40" s="16" t="s">
        <v>1617</v>
      </c>
      <c r="R40" s="16" t="s">
        <v>1672</v>
      </c>
      <c r="S40" s="16" t="s">
        <v>253</v>
      </c>
      <c r="T40" s="16" t="s">
        <v>1484</v>
      </c>
      <c r="U40" s="16" t="s">
        <v>1670</v>
      </c>
      <c r="V40" s="16" t="s">
        <v>186</v>
      </c>
      <c r="W40" s="16" t="s">
        <v>187</v>
      </c>
      <c r="X40" s="16" t="s">
        <v>188</v>
      </c>
      <c r="Y40" s="16" t="s">
        <v>189</v>
      </c>
      <c r="Z40" s="16" t="s">
        <v>190</v>
      </c>
    </row>
    <row r="41" spans="1:26" ht="57" customHeight="1">
      <c r="A41" s="16" t="s">
        <v>865</v>
      </c>
      <c r="B41" s="16" t="s">
        <v>866</v>
      </c>
      <c r="C41" s="17" t="s">
        <v>867</v>
      </c>
      <c r="D41" s="29" t="s">
        <v>1486</v>
      </c>
      <c r="E41" s="29" t="s">
        <v>829</v>
      </c>
      <c r="F41" s="16" t="s">
        <v>829</v>
      </c>
      <c r="G41" s="16">
        <v>134966000000</v>
      </c>
      <c r="H41" s="16" t="s">
        <v>830</v>
      </c>
      <c r="I41" s="16" t="s">
        <v>1666</v>
      </c>
      <c r="J41" s="19">
        <v>147.11294000000001</v>
      </c>
      <c r="K41" s="16" t="s">
        <v>132</v>
      </c>
      <c r="L41" s="18" t="s">
        <v>81</v>
      </c>
      <c r="M41" s="16" t="s">
        <v>1667</v>
      </c>
      <c r="N41" s="16" t="s">
        <v>1673</v>
      </c>
      <c r="O41" s="16" t="s">
        <v>868</v>
      </c>
      <c r="P41" s="16"/>
      <c r="Q41" s="16" t="s">
        <v>1617</v>
      </c>
      <c r="R41" s="16" t="s">
        <v>1674</v>
      </c>
      <c r="S41" s="16" t="s">
        <v>253</v>
      </c>
      <c r="T41" s="16" t="s">
        <v>1484</v>
      </c>
      <c r="U41" s="16" t="s">
        <v>1670</v>
      </c>
      <c r="V41" s="16" t="s">
        <v>186</v>
      </c>
      <c r="W41" s="16" t="s">
        <v>187</v>
      </c>
      <c r="X41" s="16" t="s">
        <v>188</v>
      </c>
      <c r="Y41" s="16" t="s">
        <v>189</v>
      </c>
      <c r="Z41" s="16" t="s">
        <v>190</v>
      </c>
    </row>
    <row r="42" spans="1:26" ht="57" customHeight="1">
      <c r="A42" s="16" t="s">
        <v>851</v>
      </c>
      <c r="B42" s="16" t="s">
        <v>852</v>
      </c>
      <c r="C42" s="17" t="s">
        <v>853</v>
      </c>
      <c r="D42" s="29" t="s">
        <v>1486</v>
      </c>
      <c r="E42" s="29" t="s">
        <v>829</v>
      </c>
      <c r="F42" s="16" t="s">
        <v>829</v>
      </c>
      <c r="G42" s="16">
        <v>118808000000</v>
      </c>
      <c r="H42" s="16" t="s">
        <v>830</v>
      </c>
      <c r="I42" s="16" t="s">
        <v>1666</v>
      </c>
      <c r="J42" s="19">
        <v>129.50072</v>
      </c>
      <c r="K42" s="16" t="s">
        <v>132</v>
      </c>
      <c r="L42" s="18" t="s">
        <v>81</v>
      </c>
      <c r="M42" s="16" t="s">
        <v>1667</v>
      </c>
      <c r="N42" s="16" t="s">
        <v>1675</v>
      </c>
      <c r="O42" s="16" t="s">
        <v>854</v>
      </c>
      <c r="P42" s="16"/>
      <c r="Q42" s="16" t="s">
        <v>1617</v>
      </c>
      <c r="R42" s="16" t="s">
        <v>1676</v>
      </c>
      <c r="S42" s="16" t="s">
        <v>253</v>
      </c>
      <c r="T42" s="16" t="s">
        <v>1484</v>
      </c>
      <c r="U42" s="16" t="s">
        <v>1670</v>
      </c>
      <c r="V42" s="16" t="s">
        <v>186</v>
      </c>
      <c r="W42" s="16" t="s">
        <v>187</v>
      </c>
      <c r="X42" s="16" t="s">
        <v>188</v>
      </c>
      <c r="Y42" s="16" t="s">
        <v>189</v>
      </c>
      <c r="Z42" s="16" t="s">
        <v>190</v>
      </c>
    </row>
    <row r="43" spans="1:26" ht="114" customHeight="1">
      <c r="A43" s="16" t="s">
        <v>844</v>
      </c>
      <c r="B43" s="16" t="s">
        <v>845</v>
      </c>
      <c r="C43" s="17" t="s">
        <v>846</v>
      </c>
      <c r="D43" s="29" t="s">
        <v>1486</v>
      </c>
      <c r="E43" s="29" t="s">
        <v>829</v>
      </c>
      <c r="F43" s="16" t="s">
        <v>829</v>
      </c>
      <c r="G43" s="16">
        <v>6821000000</v>
      </c>
      <c r="H43" s="16" t="s">
        <v>830</v>
      </c>
      <c r="I43" s="16" t="s">
        <v>1666</v>
      </c>
      <c r="J43" s="19">
        <v>7.4348900000000002</v>
      </c>
      <c r="K43" s="16" t="s">
        <v>132</v>
      </c>
      <c r="L43" s="18" t="s">
        <v>81</v>
      </c>
      <c r="M43" s="16" t="s">
        <v>1667</v>
      </c>
      <c r="N43" s="16" t="s">
        <v>1677</v>
      </c>
      <c r="O43" s="16" t="s">
        <v>847</v>
      </c>
      <c r="P43" s="16"/>
      <c r="Q43" s="16" t="s">
        <v>1617</v>
      </c>
      <c r="R43" s="16" t="s">
        <v>1678</v>
      </c>
      <c r="S43" s="16" t="s">
        <v>253</v>
      </c>
      <c r="T43" s="16" t="s">
        <v>1484</v>
      </c>
      <c r="U43" s="16" t="s">
        <v>1679</v>
      </c>
      <c r="V43" s="16" t="s">
        <v>186</v>
      </c>
      <c r="W43" s="16" t="s">
        <v>187</v>
      </c>
      <c r="X43" s="16" t="s">
        <v>188</v>
      </c>
      <c r="Y43" s="16" t="s">
        <v>189</v>
      </c>
      <c r="Z43" s="16" t="s">
        <v>190</v>
      </c>
    </row>
    <row r="44" spans="1:26" ht="57" customHeight="1">
      <c r="A44" s="16" t="s">
        <v>889</v>
      </c>
      <c r="B44" s="16" t="s">
        <v>890</v>
      </c>
      <c r="C44" s="17" t="s">
        <v>891</v>
      </c>
      <c r="D44" s="29" t="s">
        <v>1486</v>
      </c>
      <c r="E44" s="29" t="s">
        <v>829</v>
      </c>
      <c r="F44" s="16" t="s">
        <v>829</v>
      </c>
      <c r="G44" s="16">
        <v>14536000000</v>
      </c>
      <c r="H44" s="16" t="s">
        <v>830</v>
      </c>
      <c r="I44" s="16" t="s">
        <v>1666</v>
      </c>
      <c r="J44" s="19">
        <v>15.844239999999999</v>
      </c>
      <c r="K44" s="16" t="s">
        <v>132</v>
      </c>
      <c r="L44" s="18" t="s">
        <v>81</v>
      </c>
      <c r="M44" s="16" t="s">
        <v>1667</v>
      </c>
      <c r="N44" s="16" t="s">
        <v>1680</v>
      </c>
      <c r="O44" s="16" t="s">
        <v>892</v>
      </c>
      <c r="P44" s="16"/>
      <c r="Q44" s="16" t="s">
        <v>1617</v>
      </c>
      <c r="R44" s="16" t="s">
        <v>1681</v>
      </c>
      <c r="S44" s="16" t="s">
        <v>253</v>
      </c>
      <c r="T44" s="16" t="s">
        <v>1484</v>
      </c>
      <c r="U44" s="16" t="s">
        <v>1670</v>
      </c>
      <c r="V44" s="16" t="s">
        <v>186</v>
      </c>
      <c r="W44" s="16" t="s">
        <v>187</v>
      </c>
      <c r="X44" s="16" t="s">
        <v>188</v>
      </c>
      <c r="Y44" s="16" t="s">
        <v>189</v>
      </c>
      <c r="Z44" s="16" t="s">
        <v>190</v>
      </c>
    </row>
    <row r="45" spans="1:26" ht="57" customHeight="1">
      <c r="A45" s="16" t="s">
        <v>858</v>
      </c>
      <c r="B45" s="16" t="s">
        <v>859</v>
      </c>
      <c r="C45" s="17" t="s">
        <v>860</v>
      </c>
      <c r="D45" s="29" t="s">
        <v>1486</v>
      </c>
      <c r="E45" s="29" t="s">
        <v>829</v>
      </c>
      <c r="F45" s="16" t="s">
        <v>829</v>
      </c>
      <c r="G45" s="16">
        <v>22514940000</v>
      </c>
      <c r="H45" s="16" t="s">
        <v>830</v>
      </c>
      <c r="I45" s="16" t="s">
        <v>1666</v>
      </c>
      <c r="J45" s="19">
        <v>24.541284600000001</v>
      </c>
      <c r="K45" s="16" t="s">
        <v>132</v>
      </c>
      <c r="L45" s="18" t="s">
        <v>81</v>
      </c>
      <c r="M45" s="16" t="s">
        <v>1667</v>
      </c>
      <c r="N45" s="16" t="s">
        <v>1682</v>
      </c>
      <c r="O45" s="16" t="s">
        <v>861</v>
      </c>
      <c r="P45" s="16"/>
      <c r="Q45" s="16" t="s">
        <v>1617</v>
      </c>
      <c r="R45" s="16" t="s">
        <v>1683</v>
      </c>
      <c r="S45" s="16" t="s">
        <v>253</v>
      </c>
      <c r="T45" s="16" t="s">
        <v>1484</v>
      </c>
      <c r="U45" s="16" t="s">
        <v>1670</v>
      </c>
      <c r="V45" s="16" t="s">
        <v>186</v>
      </c>
      <c r="W45" s="16" t="s">
        <v>187</v>
      </c>
      <c r="X45" s="16" t="s">
        <v>188</v>
      </c>
      <c r="Y45" s="16" t="s">
        <v>189</v>
      </c>
      <c r="Z45" s="16" t="s">
        <v>190</v>
      </c>
    </row>
    <row r="46" spans="1:26" ht="57" customHeight="1">
      <c r="A46" s="16" t="s">
        <v>873</v>
      </c>
      <c r="B46" s="16" t="s">
        <v>874</v>
      </c>
      <c r="C46" s="17" t="s">
        <v>875</v>
      </c>
      <c r="D46" s="29" t="s">
        <v>1486</v>
      </c>
      <c r="E46" s="29" t="s">
        <v>829</v>
      </c>
      <c r="F46" s="16" t="s">
        <v>829</v>
      </c>
      <c r="G46" s="16">
        <v>28897730000</v>
      </c>
      <c r="H46" s="16" t="s">
        <v>830</v>
      </c>
      <c r="I46" s="16" t="s">
        <v>1666</v>
      </c>
      <c r="J46" s="19">
        <v>31.498525699999998</v>
      </c>
      <c r="K46" s="16" t="s">
        <v>132</v>
      </c>
      <c r="L46" s="18" t="s">
        <v>81</v>
      </c>
      <c r="M46" s="16" t="s">
        <v>1667</v>
      </c>
      <c r="N46" s="16" t="s">
        <v>1684</v>
      </c>
      <c r="O46" s="16" t="s">
        <v>876</v>
      </c>
      <c r="P46" s="16"/>
      <c r="Q46" s="16" t="s">
        <v>1617</v>
      </c>
      <c r="R46" s="16" t="s">
        <v>1685</v>
      </c>
      <c r="S46" s="16" t="s">
        <v>253</v>
      </c>
      <c r="T46" s="16" t="s">
        <v>1484</v>
      </c>
      <c r="U46" s="16" t="s">
        <v>1670</v>
      </c>
      <c r="V46" s="16" t="s">
        <v>186</v>
      </c>
      <c r="W46" s="16" t="s">
        <v>187</v>
      </c>
      <c r="X46" s="16" t="s">
        <v>188</v>
      </c>
      <c r="Y46" s="16" t="s">
        <v>189</v>
      </c>
      <c r="Z46" s="16" t="s">
        <v>190</v>
      </c>
    </row>
    <row r="47" spans="1:26" ht="57" customHeight="1">
      <c r="A47" s="16" t="s">
        <v>881</v>
      </c>
      <c r="B47" s="16" t="s">
        <v>882</v>
      </c>
      <c r="C47" s="17" t="s">
        <v>883</v>
      </c>
      <c r="D47" s="29" t="s">
        <v>1486</v>
      </c>
      <c r="E47" s="29" t="s">
        <v>829</v>
      </c>
      <c r="F47" s="16" t="s">
        <v>829</v>
      </c>
      <c r="G47" s="16">
        <v>57015710000</v>
      </c>
      <c r="H47" s="16" t="s">
        <v>830</v>
      </c>
      <c r="I47" s="16" t="s">
        <v>1666</v>
      </c>
      <c r="J47" s="19">
        <v>62.147123899999997</v>
      </c>
      <c r="K47" s="16" t="s">
        <v>132</v>
      </c>
      <c r="L47" s="18" t="s">
        <v>81</v>
      </c>
      <c r="M47" s="16" t="s">
        <v>1667</v>
      </c>
      <c r="N47" s="16" t="s">
        <v>1686</v>
      </c>
      <c r="O47" s="16" t="s">
        <v>884</v>
      </c>
      <c r="P47" s="16"/>
      <c r="Q47" s="16" t="s">
        <v>1617</v>
      </c>
      <c r="R47" s="16" t="s">
        <v>1687</v>
      </c>
      <c r="S47" s="16" t="s">
        <v>253</v>
      </c>
      <c r="T47" s="16" t="s">
        <v>1484</v>
      </c>
      <c r="U47" s="16" t="s">
        <v>1670</v>
      </c>
      <c r="V47" s="16" t="s">
        <v>84</v>
      </c>
      <c r="W47" s="16" t="s">
        <v>85</v>
      </c>
      <c r="X47" s="16" t="s">
        <v>188</v>
      </c>
      <c r="Y47" s="16" t="s">
        <v>189</v>
      </c>
      <c r="Z47" s="16" t="s">
        <v>190</v>
      </c>
    </row>
    <row r="48" spans="1:26" ht="85.5" customHeight="1">
      <c r="A48" s="16" t="s">
        <v>917</v>
      </c>
      <c r="B48" s="16" t="s">
        <v>918</v>
      </c>
      <c r="C48" s="17" t="s">
        <v>919</v>
      </c>
      <c r="D48" s="29" t="s">
        <v>1486</v>
      </c>
      <c r="E48" s="29" t="s">
        <v>920</v>
      </c>
      <c r="F48" s="16" t="s">
        <v>921</v>
      </c>
      <c r="G48" s="16">
        <v>13488000000000</v>
      </c>
      <c r="H48" s="16" t="s">
        <v>922</v>
      </c>
      <c r="I48" s="16" t="s">
        <v>1688</v>
      </c>
      <c r="J48" s="19">
        <v>173.993808049536</v>
      </c>
      <c r="K48" s="16" t="s">
        <v>317</v>
      </c>
      <c r="L48" s="18" t="s">
        <v>81</v>
      </c>
      <c r="M48" s="16" t="s">
        <v>1073</v>
      </c>
      <c r="N48" s="16" t="s">
        <v>1689</v>
      </c>
      <c r="O48" s="16" t="s">
        <v>923</v>
      </c>
      <c r="P48" s="16"/>
      <c r="Q48" s="16" t="s">
        <v>1493</v>
      </c>
      <c r="R48" s="16" t="s">
        <v>1690</v>
      </c>
      <c r="S48" s="16" t="s">
        <v>253</v>
      </c>
      <c r="T48" s="16" t="s">
        <v>1484</v>
      </c>
      <c r="U48" s="17" t="s">
        <v>1691</v>
      </c>
      <c r="V48" s="16" t="s">
        <v>84</v>
      </c>
      <c r="W48" s="16" t="s">
        <v>85</v>
      </c>
      <c r="X48" s="16" t="s">
        <v>188</v>
      </c>
      <c r="Y48" s="16" t="s">
        <v>189</v>
      </c>
      <c r="Z48" s="16" t="s">
        <v>89</v>
      </c>
    </row>
    <row r="49" spans="1:26" ht="85.5" customHeight="1">
      <c r="A49" s="16" t="s">
        <v>152</v>
      </c>
      <c r="B49" s="16" t="s">
        <v>35</v>
      </c>
      <c r="C49" s="17" t="s">
        <v>153</v>
      </c>
      <c r="D49" s="29" t="s">
        <v>1486</v>
      </c>
      <c r="E49" s="29" t="s">
        <v>1692</v>
      </c>
      <c r="F49" s="16" t="s">
        <v>1693</v>
      </c>
      <c r="G49" s="16">
        <v>2781511000000</v>
      </c>
      <c r="H49" s="16" t="s">
        <v>156</v>
      </c>
      <c r="I49" s="16" t="s">
        <v>1694</v>
      </c>
      <c r="J49" s="19">
        <v>47.957086206896598</v>
      </c>
      <c r="K49" s="16" t="s">
        <v>132</v>
      </c>
      <c r="L49" s="18" t="s">
        <v>81</v>
      </c>
      <c r="M49" s="16" t="s">
        <v>1572</v>
      </c>
      <c r="N49" s="16" t="s">
        <v>1695</v>
      </c>
      <c r="O49" s="16" t="s">
        <v>1696</v>
      </c>
      <c r="P49" s="16"/>
      <c r="Q49" s="16" t="s">
        <v>1493</v>
      </c>
      <c r="R49" s="16" t="s">
        <v>1697</v>
      </c>
      <c r="S49" s="16" t="s">
        <v>253</v>
      </c>
      <c r="T49" s="16" t="s">
        <v>1484</v>
      </c>
      <c r="U49" s="17" t="s">
        <v>1698</v>
      </c>
      <c r="V49" s="16" t="s">
        <v>84</v>
      </c>
      <c r="W49" s="16" t="s">
        <v>85</v>
      </c>
      <c r="X49" s="16" t="s">
        <v>105</v>
      </c>
      <c r="Y49" s="16" t="s">
        <v>106</v>
      </c>
      <c r="Z49" s="16" t="s">
        <v>89</v>
      </c>
    </row>
    <row r="50" spans="1:26" ht="85.5" customHeight="1">
      <c r="A50" s="16" t="s">
        <v>95</v>
      </c>
      <c r="B50" s="16" t="s">
        <v>96</v>
      </c>
      <c r="C50" s="17" t="s">
        <v>97</v>
      </c>
      <c r="D50" s="27" t="s">
        <v>1478</v>
      </c>
      <c r="E50" s="27" t="s">
        <v>1699</v>
      </c>
      <c r="F50" s="16" t="s">
        <v>1700</v>
      </c>
      <c r="G50" s="16">
        <v>722900000000</v>
      </c>
      <c r="H50" s="16" t="s">
        <v>100</v>
      </c>
      <c r="I50" s="17" t="s">
        <v>1701</v>
      </c>
      <c r="J50" s="19">
        <v>107.096296296296</v>
      </c>
      <c r="K50" s="16" t="s">
        <v>110</v>
      </c>
      <c r="L50" s="18" t="s">
        <v>81</v>
      </c>
      <c r="M50" s="17" t="s">
        <v>1702</v>
      </c>
      <c r="N50" s="16" t="s">
        <v>1086</v>
      </c>
      <c r="O50" s="16" t="s">
        <v>111</v>
      </c>
      <c r="P50" s="16"/>
      <c r="Q50" s="16" t="s">
        <v>1518</v>
      </c>
      <c r="R50" s="17" t="s">
        <v>1703</v>
      </c>
      <c r="S50" s="16" t="s">
        <v>253</v>
      </c>
      <c r="T50" s="16" t="s">
        <v>1484</v>
      </c>
      <c r="U50" s="16" t="s">
        <v>1704</v>
      </c>
      <c r="V50" s="16" t="s">
        <v>84</v>
      </c>
      <c r="W50" s="16" t="s">
        <v>85</v>
      </c>
      <c r="X50" s="16" t="s">
        <v>105</v>
      </c>
      <c r="Y50" s="16" t="s">
        <v>106</v>
      </c>
      <c r="Z50" s="16" t="s">
        <v>89</v>
      </c>
    </row>
    <row r="51" spans="1:26" ht="71.25" customHeight="1">
      <c r="A51" s="16" t="s">
        <v>771</v>
      </c>
      <c r="B51" s="16" t="s">
        <v>772</v>
      </c>
      <c r="C51" s="17" t="s">
        <v>773</v>
      </c>
      <c r="D51" s="27" t="s">
        <v>1478</v>
      </c>
      <c r="E51" s="27" t="s">
        <v>669</v>
      </c>
      <c r="F51" s="16" t="s">
        <v>670</v>
      </c>
      <c r="G51" s="16">
        <v>246984300000</v>
      </c>
      <c r="H51" s="16" t="s">
        <v>671</v>
      </c>
      <c r="I51" s="16" t="s">
        <v>1705</v>
      </c>
      <c r="J51" s="19">
        <v>0.41164050000000002</v>
      </c>
      <c r="K51" s="16" t="s">
        <v>110</v>
      </c>
      <c r="L51" s="18" t="s">
        <v>81</v>
      </c>
      <c r="M51" s="16" t="s">
        <v>1025</v>
      </c>
      <c r="N51" s="16" t="s">
        <v>1706</v>
      </c>
      <c r="O51" s="16" t="s">
        <v>672</v>
      </c>
      <c r="P51" s="16" t="s">
        <v>673</v>
      </c>
      <c r="Q51" s="16" t="s">
        <v>1482</v>
      </c>
      <c r="R51" s="16" t="s">
        <v>1707</v>
      </c>
      <c r="S51" s="16" t="s">
        <v>253</v>
      </c>
      <c r="T51" s="16" t="s">
        <v>1484</v>
      </c>
      <c r="U51" s="17" t="s">
        <v>1708</v>
      </c>
      <c r="V51" s="16" t="s">
        <v>84</v>
      </c>
      <c r="W51" s="16" t="s">
        <v>85</v>
      </c>
      <c r="X51" s="16" t="s">
        <v>86</v>
      </c>
      <c r="Y51" s="16" t="s">
        <v>87</v>
      </c>
      <c r="Z51" s="16" t="s">
        <v>89</v>
      </c>
    </row>
    <row r="52" spans="1:26" ht="71.25" customHeight="1">
      <c r="A52" s="16" t="s">
        <v>774</v>
      </c>
      <c r="B52" s="16" t="s">
        <v>775</v>
      </c>
      <c r="C52" s="17" t="s">
        <v>776</v>
      </c>
      <c r="D52" s="27" t="s">
        <v>1478</v>
      </c>
      <c r="E52" s="27" t="s">
        <v>669</v>
      </c>
      <c r="F52" s="16" t="s">
        <v>670</v>
      </c>
      <c r="G52" s="16">
        <v>428265500000</v>
      </c>
      <c r="H52" s="16" t="s">
        <v>671</v>
      </c>
      <c r="I52" s="16" t="s">
        <v>1705</v>
      </c>
      <c r="J52" s="19">
        <v>0.71377583333333305</v>
      </c>
      <c r="K52" s="16" t="s">
        <v>110</v>
      </c>
      <c r="L52" s="18" t="s">
        <v>81</v>
      </c>
      <c r="M52" s="16" t="s">
        <v>1025</v>
      </c>
      <c r="N52" s="16" t="s">
        <v>1706</v>
      </c>
      <c r="O52" s="16" t="s">
        <v>672</v>
      </c>
      <c r="P52" s="16" t="s">
        <v>673</v>
      </c>
      <c r="Q52" s="16" t="s">
        <v>1482</v>
      </c>
      <c r="R52" s="16" t="s">
        <v>1709</v>
      </c>
      <c r="S52" s="16" t="s">
        <v>253</v>
      </c>
      <c r="T52" s="16" t="s">
        <v>1484</v>
      </c>
      <c r="U52" s="17" t="s">
        <v>1708</v>
      </c>
      <c r="V52" s="16" t="s">
        <v>84</v>
      </c>
      <c r="W52" s="16" t="s">
        <v>85</v>
      </c>
      <c r="X52" s="16" t="s">
        <v>488</v>
      </c>
      <c r="Y52" s="16" t="s">
        <v>489</v>
      </c>
      <c r="Z52" s="16" t="s">
        <v>89</v>
      </c>
    </row>
    <row r="53" spans="1:26" ht="71.25" customHeight="1">
      <c r="A53" s="16" t="s">
        <v>666</v>
      </c>
      <c r="B53" s="16" t="s">
        <v>667</v>
      </c>
      <c r="C53" s="17" t="s">
        <v>668</v>
      </c>
      <c r="D53" s="27" t="s">
        <v>1478</v>
      </c>
      <c r="E53" s="27" t="s">
        <v>669</v>
      </c>
      <c r="F53" s="16" t="s">
        <v>670</v>
      </c>
      <c r="G53" s="16">
        <v>721221600000</v>
      </c>
      <c r="H53" s="16" t="s">
        <v>671</v>
      </c>
      <c r="I53" s="16" t="s">
        <v>1705</v>
      </c>
      <c r="J53" s="19">
        <v>1.2020360000000001</v>
      </c>
      <c r="K53" s="16" t="s">
        <v>110</v>
      </c>
      <c r="L53" s="18" t="s">
        <v>81</v>
      </c>
      <c r="M53" s="16" t="s">
        <v>1025</v>
      </c>
      <c r="N53" s="16" t="s">
        <v>1706</v>
      </c>
      <c r="O53" s="16" t="s">
        <v>672</v>
      </c>
      <c r="P53" s="16" t="s">
        <v>673</v>
      </c>
      <c r="Q53" s="16" t="s">
        <v>1482</v>
      </c>
      <c r="R53" s="16" t="s">
        <v>1710</v>
      </c>
      <c r="S53" s="16" t="s">
        <v>253</v>
      </c>
      <c r="T53" s="16" t="s">
        <v>1484</v>
      </c>
      <c r="U53" s="17" t="s">
        <v>1708</v>
      </c>
      <c r="V53" s="16" t="s">
        <v>84</v>
      </c>
      <c r="W53" s="16" t="s">
        <v>85</v>
      </c>
      <c r="X53" s="16" t="s">
        <v>86</v>
      </c>
      <c r="Y53" s="16" t="s">
        <v>87</v>
      </c>
      <c r="Z53" s="16" t="s">
        <v>89</v>
      </c>
    </row>
    <row r="54" spans="1:26" ht="71.25" customHeight="1">
      <c r="A54" s="16" t="s">
        <v>777</v>
      </c>
      <c r="B54" s="16" t="s">
        <v>778</v>
      </c>
      <c r="C54" s="17" t="s">
        <v>779</v>
      </c>
      <c r="D54" s="27" t="s">
        <v>1478</v>
      </c>
      <c r="E54" s="27" t="s">
        <v>669</v>
      </c>
      <c r="F54" s="16" t="s">
        <v>670</v>
      </c>
      <c r="G54" s="16">
        <v>203501200000</v>
      </c>
      <c r="H54" s="16" t="s">
        <v>671</v>
      </c>
      <c r="I54" s="16" t="s">
        <v>1705</v>
      </c>
      <c r="J54" s="19">
        <v>0.33916866666666701</v>
      </c>
      <c r="K54" s="16" t="s">
        <v>110</v>
      </c>
      <c r="L54" s="18" t="s">
        <v>81</v>
      </c>
      <c r="M54" s="16" t="s">
        <v>1025</v>
      </c>
      <c r="N54" s="16" t="s">
        <v>1706</v>
      </c>
      <c r="O54" s="16" t="s">
        <v>672</v>
      </c>
      <c r="P54" s="16" t="s">
        <v>673</v>
      </c>
      <c r="Q54" s="16" t="s">
        <v>1482</v>
      </c>
      <c r="R54" s="16" t="s">
        <v>1711</v>
      </c>
      <c r="S54" s="16" t="s">
        <v>253</v>
      </c>
      <c r="T54" s="16" t="s">
        <v>1484</v>
      </c>
      <c r="U54" s="17" t="s">
        <v>1708</v>
      </c>
      <c r="V54" s="16" t="s">
        <v>84</v>
      </c>
      <c r="W54" s="16" t="s">
        <v>85</v>
      </c>
      <c r="X54" s="16" t="s">
        <v>488</v>
      </c>
      <c r="Y54" s="16" t="s">
        <v>489</v>
      </c>
      <c r="Z54" s="16" t="s">
        <v>89</v>
      </c>
    </row>
    <row r="55" spans="1:26" ht="71.25" customHeight="1">
      <c r="A55" s="16" t="s">
        <v>676</v>
      </c>
      <c r="B55" s="16" t="s">
        <v>677</v>
      </c>
      <c r="C55" s="17" t="s">
        <v>678</v>
      </c>
      <c r="D55" s="27" t="s">
        <v>1478</v>
      </c>
      <c r="E55" s="27" t="s">
        <v>669</v>
      </c>
      <c r="F55" s="16" t="s">
        <v>670</v>
      </c>
      <c r="G55" s="16">
        <v>805217300000</v>
      </c>
      <c r="H55" s="16" t="s">
        <v>671</v>
      </c>
      <c r="I55" s="16" t="s">
        <v>1705</v>
      </c>
      <c r="J55" s="19">
        <v>1.3420288333333299</v>
      </c>
      <c r="K55" s="16" t="s">
        <v>110</v>
      </c>
      <c r="L55" s="18" t="s">
        <v>81</v>
      </c>
      <c r="M55" s="16" t="s">
        <v>1025</v>
      </c>
      <c r="N55" s="16" t="s">
        <v>1706</v>
      </c>
      <c r="O55" s="16" t="s">
        <v>672</v>
      </c>
      <c r="P55" s="16" t="s">
        <v>673</v>
      </c>
      <c r="Q55" s="16" t="s">
        <v>1482</v>
      </c>
      <c r="R55" s="16" t="s">
        <v>1712</v>
      </c>
      <c r="S55" s="16" t="s">
        <v>253</v>
      </c>
      <c r="T55" s="16" t="s">
        <v>1484</v>
      </c>
      <c r="U55" s="17" t="s">
        <v>1708</v>
      </c>
      <c r="V55" s="16" t="s">
        <v>84</v>
      </c>
      <c r="W55" s="16" t="s">
        <v>85</v>
      </c>
      <c r="X55" s="16" t="s">
        <v>86</v>
      </c>
      <c r="Y55" s="16" t="s">
        <v>87</v>
      </c>
      <c r="Z55" s="16" t="s">
        <v>89</v>
      </c>
    </row>
    <row r="56" spans="1:26" ht="85.5" customHeight="1">
      <c r="A56" s="16" t="s">
        <v>628</v>
      </c>
      <c r="B56" s="16" t="s">
        <v>629</v>
      </c>
      <c r="C56" s="17" t="s">
        <v>630</v>
      </c>
      <c r="D56" s="25" t="s">
        <v>1501</v>
      </c>
      <c r="E56" s="25" t="s">
        <v>631</v>
      </c>
      <c r="F56" s="16" t="s">
        <v>632</v>
      </c>
      <c r="G56" s="16">
        <v>1377460000000</v>
      </c>
      <c r="H56" s="16" t="s">
        <v>633</v>
      </c>
      <c r="I56" s="16" t="s">
        <v>1713</v>
      </c>
      <c r="J56" s="19">
        <v>0.54018039215686298</v>
      </c>
      <c r="K56" s="16" t="s">
        <v>204</v>
      </c>
      <c r="L56" s="18" t="s">
        <v>81</v>
      </c>
      <c r="M56" s="16" t="s">
        <v>1017</v>
      </c>
      <c r="N56" s="16" t="s">
        <v>1317</v>
      </c>
      <c r="O56" s="16" t="s">
        <v>634</v>
      </c>
      <c r="P56" s="16" t="s">
        <v>635</v>
      </c>
      <c r="Q56" s="16" t="s">
        <v>1482</v>
      </c>
      <c r="R56" s="16" t="s">
        <v>1714</v>
      </c>
      <c r="S56" s="16" t="s">
        <v>253</v>
      </c>
      <c r="T56" s="16" t="s">
        <v>1484</v>
      </c>
      <c r="U56" s="16" t="s">
        <v>1026</v>
      </c>
      <c r="V56" s="16" t="s">
        <v>84</v>
      </c>
      <c r="W56" s="16" t="s">
        <v>85</v>
      </c>
      <c r="X56" s="16" t="s">
        <v>86</v>
      </c>
      <c r="Y56" s="16" t="s">
        <v>87</v>
      </c>
      <c r="Z56" s="16" t="s">
        <v>89</v>
      </c>
    </row>
    <row r="57" spans="1:26" ht="71.25" customHeight="1">
      <c r="A57" s="16" t="s">
        <v>648</v>
      </c>
      <c r="B57" s="16" t="s">
        <v>649</v>
      </c>
      <c r="C57" s="17" t="s">
        <v>650</v>
      </c>
      <c r="D57" s="27" t="s">
        <v>1478</v>
      </c>
      <c r="E57" s="27" t="s">
        <v>651</v>
      </c>
      <c r="F57" s="16" t="s">
        <v>652</v>
      </c>
      <c r="G57" s="16">
        <v>611600000000</v>
      </c>
      <c r="H57" s="16" t="s">
        <v>653</v>
      </c>
      <c r="I57" s="16" t="s">
        <v>1715</v>
      </c>
      <c r="J57" s="19">
        <v>0.45303703703703702</v>
      </c>
      <c r="K57" s="16" t="s">
        <v>326</v>
      </c>
      <c r="L57" s="18" t="s">
        <v>81</v>
      </c>
      <c r="M57" s="16" t="s">
        <v>1021</v>
      </c>
      <c r="N57" s="16" t="s">
        <v>1334</v>
      </c>
      <c r="O57" s="16" t="s">
        <v>654</v>
      </c>
      <c r="P57" s="16"/>
      <c r="Q57" s="16" t="s">
        <v>1482</v>
      </c>
      <c r="R57" s="16" t="s">
        <v>1716</v>
      </c>
      <c r="S57" s="16" t="s">
        <v>253</v>
      </c>
      <c r="T57" s="16" t="s">
        <v>1484</v>
      </c>
      <c r="U57" s="17" t="s">
        <v>1717</v>
      </c>
      <c r="V57" s="16" t="s">
        <v>84</v>
      </c>
      <c r="W57" s="16" t="s">
        <v>85</v>
      </c>
      <c r="X57" s="16" t="s">
        <v>488</v>
      </c>
      <c r="Y57" s="16" t="s">
        <v>489</v>
      </c>
      <c r="Z57" s="16" t="s">
        <v>89</v>
      </c>
    </row>
    <row r="58" spans="1:26" ht="57" customHeight="1">
      <c r="A58" s="16" t="s">
        <v>721</v>
      </c>
      <c r="B58" s="16" t="s">
        <v>722</v>
      </c>
      <c r="C58" s="17" t="s">
        <v>723</v>
      </c>
      <c r="D58" s="27" t="s">
        <v>1478</v>
      </c>
      <c r="E58" s="27" t="s">
        <v>724</v>
      </c>
      <c r="F58" s="16" t="s">
        <v>725</v>
      </c>
      <c r="G58" s="16">
        <v>7190000000</v>
      </c>
      <c r="H58" s="16" t="s">
        <v>726</v>
      </c>
      <c r="I58" s="16" t="s">
        <v>1718</v>
      </c>
      <c r="J58" s="19">
        <v>0.27132075471698103</v>
      </c>
      <c r="K58" s="16" t="s">
        <v>204</v>
      </c>
      <c r="L58" s="18" t="s">
        <v>81</v>
      </c>
      <c r="M58" s="16" t="s">
        <v>1034</v>
      </c>
      <c r="N58" s="16" t="s">
        <v>1719</v>
      </c>
      <c r="O58" s="16" t="s">
        <v>727</v>
      </c>
      <c r="P58" s="16"/>
      <c r="Q58" s="16" t="s">
        <v>1482</v>
      </c>
      <c r="R58" s="16" t="s">
        <v>1720</v>
      </c>
      <c r="S58" s="16" t="s">
        <v>253</v>
      </c>
      <c r="T58" s="16" t="s">
        <v>1484</v>
      </c>
      <c r="U58" s="16" t="s">
        <v>1721</v>
      </c>
      <c r="V58" s="16" t="s">
        <v>84</v>
      </c>
      <c r="W58" s="16" t="s">
        <v>85</v>
      </c>
      <c r="X58" s="16" t="s">
        <v>86</v>
      </c>
      <c r="Y58" s="16" t="s">
        <v>87</v>
      </c>
      <c r="Z58" s="16" t="s">
        <v>89</v>
      </c>
    </row>
    <row r="59" spans="1:26" ht="57" customHeight="1">
      <c r="A59" s="16" t="s">
        <v>679</v>
      </c>
      <c r="B59" s="16" t="s">
        <v>680</v>
      </c>
      <c r="C59" s="17" t="s">
        <v>681</v>
      </c>
      <c r="D59" s="27" t="s">
        <v>1478</v>
      </c>
      <c r="E59" s="27" t="s">
        <v>682</v>
      </c>
      <c r="F59" s="16" t="s">
        <v>683</v>
      </c>
      <c r="G59" s="16">
        <v>659411000000</v>
      </c>
      <c r="H59" s="16" t="s">
        <v>684</v>
      </c>
      <c r="I59" s="16" t="s">
        <v>1722</v>
      </c>
      <c r="J59" s="19">
        <v>1.0990183333333301</v>
      </c>
      <c r="K59" s="16" t="s">
        <v>326</v>
      </c>
      <c r="L59" s="18" t="s">
        <v>81</v>
      </c>
      <c r="M59" s="16" t="s">
        <v>1723</v>
      </c>
      <c r="N59" s="16" t="s">
        <v>1724</v>
      </c>
      <c r="O59" s="16" t="s">
        <v>685</v>
      </c>
      <c r="P59" s="16"/>
      <c r="Q59" s="16" t="s">
        <v>1482</v>
      </c>
      <c r="R59" s="16" t="s">
        <v>1725</v>
      </c>
      <c r="S59" s="16" t="s">
        <v>253</v>
      </c>
      <c r="T59" s="16" t="s">
        <v>1484</v>
      </c>
      <c r="U59" s="16"/>
      <c r="V59" s="16" t="s">
        <v>84</v>
      </c>
      <c r="W59" s="16" t="s">
        <v>85</v>
      </c>
      <c r="X59" s="16" t="s">
        <v>86</v>
      </c>
      <c r="Y59" s="16" t="s">
        <v>87</v>
      </c>
      <c r="Z59" s="16" t="s">
        <v>89</v>
      </c>
    </row>
    <row r="60" spans="1:26" ht="57" customHeight="1">
      <c r="A60" s="16" t="s">
        <v>787</v>
      </c>
      <c r="B60" s="16" t="s">
        <v>788</v>
      </c>
      <c r="C60" s="17" t="s">
        <v>789</v>
      </c>
      <c r="D60" s="27" t="s">
        <v>1478</v>
      </c>
      <c r="E60" s="27" t="s">
        <v>682</v>
      </c>
      <c r="F60" s="16" t="s">
        <v>683</v>
      </c>
      <c r="G60" s="16">
        <v>112302000000</v>
      </c>
      <c r="H60" s="16" t="s">
        <v>684</v>
      </c>
      <c r="I60" s="16" t="s">
        <v>1722</v>
      </c>
      <c r="J60" s="19">
        <v>0.18717</v>
      </c>
      <c r="K60" s="16" t="s">
        <v>326</v>
      </c>
      <c r="L60" s="18" t="s">
        <v>81</v>
      </c>
      <c r="M60" s="16" t="s">
        <v>1723</v>
      </c>
      <c r="N60" s="16" t="s">
        <v>1724</v>
      </c>
      <c r="O60" s="16" t="s">
        <v>685</v>
      </c>
      <c r="P60" s="16"/>
      <c r="Q60" s="16" t="s">
        <v>1482</v>
      </c>
      <c r="R60" s="16" t="s">
        <v>1726</v>
      </c>
      <c r="S60" s="16" t="s">
        <v>253</v>
      </c>
      <c r="T60" s="16" t="s">
        <v>1484</v>
      </c>
      <c r="U60" s="16"/>
      <c r="V60" s="16" t="s">
        <v>84</v>
      </c>
      <c r="W60" s="16" t="s">
        <v>85</v>
      </c>
      <c r="X60" s="16" t="s">
        <v>105</v>
      </c>
      <c r="Y60" s="16" t="s">
        <v>106</v>
      </c>
      <c r="Z60" s="16" t="s">
        <v>89</v>
      </c>
    </row>
    <row r="61" spans="1:26" ht="57" customHeight="1">
      <c r="A61" s="16" t="s">
        <v>657</v>
      </c>
      <c r="B61" s="16" t="s">
        <v>658</v>
      </c>
      <c r="C61" s="17" t="s">
        <v>659</v>
      </c>
      <c r="D61" s="27" t="s">
        <v>1478</v>
      </c>
      <c r="E61" s="27" t="s">
        <v>660</v>
      </c>
      <c r="F61" s="16" t="s">
        <v>661</v>
      </c>
      <c r="G61" s="16">
        <v>48900000000</v>
      </c>
      <c r="H61" s="16" t="s">
        <v>662</v>
      </c>
      <c r="I61" s="16" t="s">
        <v>1727</v>
      </c>
      <c r="J61" s="19">
        <v>0.37615384615384601</v>
      </c>
      <c r="K61" s="16" t="s">
        <v>123</v>
      </c>
      <c r="L61" s="18" t="s">
        <v>81</v>
      </c>
      <c r="M61" s="16" t="s">
        <v>1728</v>
      </c>
      <c r="N61" s="16" t="s">
        <v>1339</v>
      </c>
      <c r="O61" s="16" t="s">
        <v>663</v>
      </c>
      <c r="P61" s="16"/>
      <c r="Q61" s="16" t="s">
        <v>1482</v>
      </c>
      <c r="R61" s="16" t="s">
        <v>1729</v>
      </c>
      <c r="S61" s="16" t="s">
        <v>253</v>
      </c>
      <c r="T61" s="16" t="s">
        <v>1484</v>
      </c>
      <c r="U61" s="16" t="s">
        <v>1730</v>
      </c>
      <c r="V61" s="16" t="s">
        <v>84</v>
      </c>
      <c r="W61" s="16" t="s">
        <v>85</v>
      </c>
      <c r="X61" s="16" t="s">
        <v>488</v>
      </c>
      <c r="Y61" s="16" t="s">
        <v>489</v>
      </c>
      <c r="Z61" s="16" t="s">
        <v>89</v>
      </c>
    </row>
    <row r="62" spans="1:26" ht="57" customHeight="1">
      <c r="A62" s="16" t="s">
        <v>731</v>
      </c>
      <c r="B62" s="16" t="s">
        <v>39</v>
      </c>
      <c r="C62" s="17" t="s">
        <v>732</v>
      </c>
      <c r="D62" s="25" t="s">
        <v>1501</v>
      </c>
      <c r="E62" s="25" t="s">
        <v>733</v>
      </c>
      <c r="F62" s="16" t="s">
        <v>734</v>
      </c>
      <c r="G62" s="16">
        <v>8500000000</v>
      </c>
      <c r="H62" s="16" t="s">
        <v>735</v>
      </c>
      <c r="I62" s="16" t="s">
        <v>1731</v>
      </c>
      <c r="J62" s="19">
        <v>0.60844667143879705</v>
      </c>
      <c r="K62" s="16" t="s">
        <v>326</v>
      </c>
      <c r="L62" s="18" t="s">
        <v>81</v>
      </c>
      <c r="M62" s="16" t="s">
        <v>1036</v>
      </c>
      <c r="N62" s="16" t="s">
        <v>1732</v>
      </c>
      <c r="O62" s="16" t="s">
        <v>736</v>
      </c>
      <c r="P62" s="16"/>
      <c r="Q62" s="16" t="s">
        <v>1482</v>
      </c>
      <c r="R62" s="16" t="s">
        <v>1733</v>
      </c>
      <c r="S62" s="16" t="s">
        <v>253</v>
      </c>
      <c r="T62" s="16" t="s">
        <v>1484</v>
      </c>
      <c r="U62" s="17" t="s">
        <v>1734</v>
      </c>
      <c r="V62" s="16" t="s">
        <v>84</v>
      </c>
      <c r="W62" s="16" t="s">
        <v>85</v>
      </c>
      <c r="X62" s="16" t="s">
        <v>105</v>
      </c>
      <c r="Y62" s="16" t="s">
        <v>106</v>
      </c>
      <c r="Z62" s="16" t="s">
        <v>89</v>
      </c>
    </row>
    <row r="63" spans="1:26" ht="57" customHeight="1">
      <c r="A63" s="16" t="s">
        <v>741</v>
      </c>
      <c r="B63" s="16" t="s">
        <v>742</v>
      </c>
      <c r="C63" s="17" t="s">
        <v>743</v>
      </c>
      <c r="D63" s="25" t="s">
        <v>1501</v>
      </c>
      <c r="E63" s="25" t="s">
        <v>744</v>
      </c>
      <c r="F63" s="16" t="s">
        <v>745</v>
      </c>
      <c r="G63" s="16">
        <v>7500000000</v>
      </c>
      <c r="H63" s="16" t="s">
        <v>746</v>
      </c>
      <c r="I63" s="16" t="s">
        <v>1735</v>
      </c>
      <c r="J63" s="19">
        <v>0.41666666666666702</v>
      </c>
      <c r="K63" s="16" t="s">
        <v>204</v>
      </c>
      <c r="L63" s="20" t="s">
        <v>102</v>
      </c>
      <c r="M63" s="16" t="s">
        <v>1736</v>
      </c>
      <c r="N63" s="16" t="s">
        <v>1737</v>
      </c>
      <c r="O63" s="16" t="s">
        <v>747</v>
      </c>
      <c r="P63" s="16"/>
      <c r="Q63" s="16" t="s">
        <v>1738</v>
      </c>
      <c r="R63" s="16" t="s">
        <v>1739</v>
      </c>
      <c r="S63" s="16" t="s">
        <v>253</v>
      </c>
      <c r="T63" s="16" t="s">
        <v>1484</v>
      </c>
      <c r="U63" s="16" t="s">
        <v>1740</v>
      </c>
      <c r="V63" s="16" t="s">
        <v>84</v>
      </c>
      <c r="W63" s="16" t="s">
        <v>85</v>
      </c>
      <c r="X63" s="16" t="s">
        <v>86</v>
      </c>
      <c r="Y63" s="16" t="s">
        <v>87</v>
      </c>
      <c r="Z63" s="16" t="s">
        <v>89</v>
      </c>
    </row>
    <row r="64" spans="1:26" ht="57" customHeight="1">
      <c r="A64" s="16" t="s">
        <v>751</v>
      </c>
      <c r="B64" s="16" t="s">
        <v>752</v>
      </c>
      <c r="C64" s="17" t="s">
        <v>753</v>
      </c>
      <c r="D64" s="25" t="s">
        <v>1501</v>
      </c>
      <c r="E64" s="25" t="s">
        <v>754</v>
      </c>
      <c r="F64" s="16" t="s">
        <v>755</v>
      </c>
      <c r="G64" s="16">
        <v>59189000000</v>
      </c>
      <c r="H64" s="16" t="s">
        <v>756</v>
      </c>
      <c r="I64" s="16" t="s">
        <v>1741</v>
      </c>
      <c r="J64" s="19">
        <v>1.31531111111111</v>
      </c>
      <c r="K64" s="16" t="s">
        <v>757</v>
      </c>
      <c r="L64" s="18" t="s">
        <v>81</v>
      </c>
      <c r="M64" s="16" t="s">
        <v>1041</v>
      </c>
      <c r="N64" s="16" t="s">
        <v>1742</v>
      </c>
      <c r="O64" s="16" t="s">
        <v>758</v>
      </c>
      <c r="P64" s="16"/>
      <c r="Q64" s="16" t="s">
        <v>1482</v>
      </c>
      <c r="R64" s="16" t="s">
        <v>1743</v>
      </c>
      <c r="S64" s="16" t="s">
        <v>253</v>
      </c>
      <c r="T64" s="16" t="s">
        <v>1484</v>
      </c>
      <c r="U64" s="17" t="s">
        <v>1744</v>
      </c>
      <c r="V64" s="16" t="s">
        <v>84</v>
      </c>
      <c r="W64" s="16" t="s">
        <v>85</v>
      </c>
      <c r="X64" s="16" t="s">
        <v>105</v>
      </c>
      <c r="Y64" s="16" t="s">
        <v>106</v>
      </c>
      <c r="Z64" s="16" t="s">
        <v>89</v>
      </c>
    </row>
    <row r="65" spans="1:26" ht="71.25" customHeight="1">
      <c r="A65" s="16" t="s">
        <v>688</v>
      </c>
      <c r="B65" s="16" t="s">
        <v>689</v>
      </c>
      <c r="C65" s="17" t="s">
        <v>690</v>
      </c>
      <c r="D65" s="25" t="s">
        <v>1501</v>
      </c>
      <c r="E65" s="25" t="s">
        <v>691</v>
      </c>
      <c r="F65" s="16" t="s">
        <v>692</v>
      </c>
      <c r="G65" s="16">
        <v>26530000000</v>
      </c>
      <c r="H65" s="16" t="s">
        <v>693</v>
      </c>
      <c r="I65" s="16" t="s">
        <v>1745</v>
      </c>
      <c r="J65" s="19">
        <v>2.88369565217391E-2</v>
      </c>
      <c r="K65" s="16" t="s">
        <v>92</v>
      </c>
      <c r="L65" s="18" t="s">
        <v>81</v>
      </c>
      <c r="M65" s="16" t="s">
        <v>1746</v>
      </c>
      <c r="N65" s="16" t="s">
        <v>1747</v>
      </c>
      <c r="O65" s="16" t="s">
        <v>694</v>
      </c>
      <c r="P65" s="16"/>
      <c r="Q65" s="16" t="s">
        <v>1482</v>
      </c>
      <c r="R65" s="16" t="s">
        <v>1748</v>
      </c>
      <c r="S65" s="16" t="s">
        <v>253</v>
      </c>
      <c r="T65" s="16" t="s">
        <v>1484</v>
      </c>
      <c r="U65" s="17" t="s">
        <v>1749</v>
      </c>
      <c r="V65" s="16" t="s">
        <v>84</v>
      </c>
      <c r="W65" s="16" t="s">
        <v>85</v>
      </c>
      <c r="X65" s="16" t="s">
        <v>86</v>
      </c>
      <c r="Y65" s="16" t="s">
        <v>87</v>
      </c>
      <c r="Z65" s="16" t="s">
        <v>89</v>
      </c>
    </row>
    <row r="66" spans="1:26" ht="57" customHeight="1">
      <c r="A66" s="16" t="s">
        <v>699</v>
      </c>
      <c r="B66" s="16" t="s">
        <v>700</v>
      </c>
      <c r="C66" s="17" t="s">
        <v>701</v>
      </c>
      <c r="D66" s="29" t="s">
        <v>1486</v>
      </c>
      <c r="E66" s="29" t="s">
        <v>702</v>
      </c>
      <c r="F66" s="16" t="s">
        <v>703</v>
      </c>
      <c r="G66" s="16">
        <v>92175000000</v>
      </c>
      <c r="H66" s="16" t="s">
        <v>704</v>
      </c>
      <c r="I66" s="16" t="s">
        <v>1750</v>
      </c>
      <c r="J66" s="19">
        <v>1.440234375</v>
      </c>
      <c r="K66" s="16" t="s">
        <v>326</v>
      </c>
      <c r="L66" s="20" t="s">
        <v>102</v>
      </c>
      <c r="M66" s="16" t="s">
        <v>1751</v>
      </c>
      <c r="N66" s="16" t="s">
        <v>1752</v>
      </c>
      <c r="O66" s="16" t="s">
        <v>705</v>
      </c>
      <c r="P66" s="16"/>
      <c r="Q66" s="16" t="s">
        <v>1738</v>
      </c>
      <c r="R66" s="16" t="s">
        <v>1753</v>
      </c>
      <c r="S66" s="16" t="s">
        <v>253</v>
      </c>
      <c r="T66" s="16" t="s">
        <v>1484</v>
      </c>
      <c r="U66" s="17" t="s">
        <v>1754</v>
      </c>
      <c r="V66" s="16" t="s">
        <v>84</v>
      </c>
      <c r="W66" s="16" t="s">
        <v>85</v>
      </c>
      <c r="X66" s="16" t="s">
        <v>488</v>
      </c>
      <c r="Y66" s="16" t="s">
        <v>489</v>
      </c>
      <c r="Z66" s="16" t="s">
        <v>89</v>
      </c>
    </row>
    <row r="67" spans="1:26" ht="57" customHeight="1">
      <c r="A67" s="16" t="s">
        <v>638</v>
      </c>
      <c r="B67" s="16" t="s">
        <v>639</v>
      </c>
      <c r="C67" s="17" t="s">
        <v>640</v>
      </c>
      <c r="D67" s="27" t="s">
        <v>1478</v>
      </c>
      <c r="E67" s="27" t="s">
        <v>641</v>
      </c>
      <c r="F67" s="16" t="s">
        <v>642</v>
      </c>
      <c r="G67" s="16">
        <v>724467043047</v>
      </c>
      <c r="H67" s="16" t="s">
        <v>643</v>
      </c>
      <c r="I67" s="16" t="s">
        <v>1755</v>
      </c>
      <c r="J67" s="19">
        <v>0.19580190352621599</v>
      </c>
      <c r="K67" s="16" t="s">
        <v>92</v>
      </c>
      <c r="L67" s="20" t="s">
        <v>102</v>
      </c>
      <c r="M67" s="16" t="s">
        <v>1756</v>
      </c>
      <c r="N67" s="16" t="s">
        <v>1757</v>
      </c>
      <c r="O67" s="16" t="s">
        <v>644</v>
      </c>
      <c r="P67" s="16"/>
      <c r="Q67" s="16" t="s">
        <v>1738</v>
      </c>
      <c r="R67" s="16" t="s">
        <v>1758</v>
      </c>
      <c r="S67" s="16" t="s">
        <v>253</v>
      </c>
      <c r="T67" s="16" t="s">
        <v>1484</v>
      </c>
      <c r="U67" s="17" t="s">
        <v>1759</v>
      </c>
      <c r="V67" s="16" t="s">
        <v>84</v>
      </c>
      <c r="W67" s="16" t="s">
        <v>85</v>
      </c>
      <c r="X67" s="16" t="s">
        <v>488</v>
      </c>
      <c r="Y67" s="16" t="s">
        <v>489</v>
      </c>
      <c r="Z67" s="16" t="s">
        <v>89</v>
      </c>
    </row>
    <row r="68" spans="1:26" ht="57" customHeight="1">
      <c r="A68" s="16" t="s">
        <v>320</v>
      </c>
      <c r="B68" s="16" t="s">
        <v>321</v>
      </c>
      <c r="C68" s="17" t="s">
        <v>322</v>
      </c>
      <c r="D68" s="27" t="s">
        <v>1478</v>
      </c>
      <c r="E68" s="27" t="s">
        <v>323</v>
      </c>
      <c r="F68" s="16" t="s">
        <v>324</v>
      </c>
      <c r="G68" s="16">
        <v>5654150000</v>
      </c>
      <c r="H68" s="16" t="s">
        <v>325</v>
      </c>
      <c r="I68" s="16" t="s">
        <v>1760</v>
      </c>
      <c r="J68" s="19">
        <v>0.36478387096774201</v>
      </c>
      <c r="K68" s="16" t="s">
        <v>326</v>
      </c>
      <c r="L68" s="20" t="s">
        <v>102</v>
      </c>
      <c r="M68" s="16" t="s">
        <v>1761</v>
      </c>
      <c r="N68" s="16" t="s">
        <v>1762</v>
      </c>
      <c r="O68" s="16" t="s">
        <v>327</v>
      </c>
      <c r="P68" s="16"/>
      <c r="Q68" s="16" t="s">
        <v>1738</v>
      </c>
      <c r="R68" s="16" t="s">
        <v>1763</v>
      </c>
      <c r="S68" s="16" t="s">
        <v>253</v>
      </c>
      <c r="T68" s="16" t="s">
        <v>1484</v>
      </c>
      <c r="U68" s="16" t="s">
        <v>1764</v>
      </c>
      <c r="V68" s="16" t="s">
        <v>84</v>
      </c>
      <c r="W68" s="16" t="s">
        <v>85</v>
      </c>
      <c r="X68" s="16" t="s">
        <v>86</v>
      </c>
      <c r="Y68" s="16" t="s">
        <v>87</v>
      </c>
      <c r="Z68" s="16" t="s">
        <v>89</v>
      </c>
    </row>
    <row r="69" spans="1:26" ht="71.25" customHeight="1">
      <c r="A69" s="16" t="s">
        <v>164</v>
      </c>
      <c r="B69" s="16" t="s">
        <v>165</v>
      </c>
      <c r="C69" s="17" t="s">
        <v>166</v>
      </c>
      <c r="D69" s="25" t="s">
        <v>1501</v>
      </c>
      <c r="E69" s="25" t="s">
        <v>167</v>
      </c>
      <c r="F69" s="16" t="s">
        <v>168</v>
      </c>
      <c r="G69" s="16">
        <v>142000000000000</v>
      </c>
      <c r="H69" s="16" t="s">
        <v>169</v>
      </c>
      <c r="I69" s="16" t="s">
        <v>1765</v>
      </c>
      <c r="J69" s="19">
        <v>5.5905511811023603</v>
      </c>
      <c r="K69" s="16" t="s">
        <v>170</v>
      </c>
      <c r="L69" s="18" t="s">
        <v>81</v>
      </c>
      <c r="M69" s="16" t="s">
        <v>1766</v>
      </c>
      <c r="N69" s="16" t="s">
        <v>1767</v>
      </c>
      <c r="O69" s="16" t="s">
        <v>171</v>
      </c>
      <c r="P69" s="16"/>
      <c r="Q69" s="16" t="s">
        <v>1482</v>
      </c>
      <c r="R69" s="16" t="s">
        <v>1768</v>
      </c>
      <c r="S69" s="16" t="s">
        <v>253</v>
      </c>
      <c r="T69" s="16" t="s">
        <v>1484</v>
      </c>
      <c r="U69" s="17" t="s">
        <v>1769</v>
      </c>
      <c r="V69" s="16" t="s">
        <v>84</v>
      </c>
      <c r="W69" s="16" t="s">
        <v>85</v>
      </c>
      <c r="X69" s="16" t="s">
        <v>105</v>
      </c>
      <c r="Y69" s="16" t="s">
        <v>106</v>
      </c>
      <c r="Z69" s="16" t="s">
        <v>89</v>
      </c>
    </row>
    <row r="70" spans="1:26" ht="57" customHeight="1">
      <c r="A70" s="16" t="s">
        <v>164</v>
      </c>
      <c r="B70" s="16" t="s">
        <v>165</v>
      </c>
      <c r="C70" s="17" t="s">
        <v>166</v>
      </c>
      <c r="D70" s="29" t="s">
        <v>1486</v>
      </c>
      <c r="E70" s="29" t="s">
        <v>1770</v>
      </c>
      <c r="F70" s="16" t="s">
        <v>1771</v>
      </c>
      <c r="G70" s="16">
        <v>3100000000000000</v>
      </c>
      <c r="H70" s="16" t="s">
        <v>169</v>
      </c>
      <c r="I70" s="16" t="s">
        <v>1772</v>
      </c>
      <c r="J70" s="19">
        <v>122.04724409448799</v>
      </c>
      <c r="K70" s="16" t="s">
        <v>1773</v>
      </c>
      <c r="L70" s="18" t="s">
        <v>81</v>
      </c>
      <c r="M70" s="16" t="s">
        <v>1774</v>
      </c>
      <c r="N70" s="16" t="s">
        <v>1767</v>
      </c>
      <c r="O70" s="16" t="s">
        <v>171</v>
      </c>
      <c r="P70" s="16"/>
      <c r="Q70" s="16" t="s">
        <v>1482</v>
      </c>
      <c r="R70" s="16" t="s">
        <v>1775</v>
      </c>
      <c r="S70" s="16" t="s">
        <v>253</v>
      </c>
      <c r="T70" s="16" t="s">
        <v>1484</v>
      </c>
      <c r="U70" s="16" t="s">
        <v>1776</v>
      </c>
      <c r="V70" s="16" t="s">
        <v>84</v>
      </c>
      <c r="W70" s="16" t="s">
        <v>85</v>
      </c>
      <c r="X70" s="16" t="s">
        <v>105</v>
      </c>
      <c r="Y70" s="16" t="s">
        <v>106</v>
      </c>
      <c r="Z70" s="16" t="s">
        <v>89</v>
      </c>
    </row>
    <row r="71" spans="1:26" ht="71.25" customHeight="1">
      <c r="A71" s="16" t="s">
        <v>221</v>
      </c>
      <c r="B71" s="16" t="s">
        <v>222</v>
      </c>
      <c r="C71" s="17" t="s">
        <v>1777</v>
      </c>
      <c r="D71" s="27" t="s">
        <v>1478</v>
      </c>
      <c r="E71" s="27" t="s">
        <v>224</v>
      </c>
      <c r="F71" s="16" t="s">
        <v>225</v>
      </c>
      <c r="G71" s="16">
        <v>565531900000</v>
      </c>
      <c r="H71" s="16" t="s">
        <v>226</v>
      </c>
      <c r="I71" s="16" t="s">
        <v>1778</v>
      </c>
      <c r="J71" s="19">
        <v>4.5703240665912404</v>
      </c>
      <c r="K71" s="16" t="s">
        <v>227</v>
      </c>
      <c r="L71" s="18" t="s">
        <v>81</v>
      </c>
      <c r="M71" s="16" t="s">
        <v>1144</v>
      </c>
      <c r="N71" s="16" t="s">
        <v>1779</v>
      </c>
      <c r="O71" s="16" t="s">
        <v>228</v>
      </c>
      <c r="P71" s="16"/>
      <c r="Q71" s="16" t="s">
        <v>1482</v>
      </c>
      <c r="R71" s="16" t="s">
        <v>1780</v>
      </c>
      <c r="S71" s="16" t="s">
        <v>253</v>
      </c>
      <c r="T71" s="16" t="s">
        <v>1484</v>
      </c>
      <c r="U71" s="16" t="s">
        <v>1781</v>
      </c>
      <c r="V71" s="16" t="s">
        <v>84</v>
      </c>
      <c r="W71" s="16" t="s">
        <v>85</v>
      </c>
      <c r="X71" s="16" t="s">
        <v>86</v>
      </c>
      <c r="Y71" s="16" t="s">
        <v>87</v>
      </c>
      <c r="Z71" s="16" t="s">
        <v>89</v>
      </c>
    </row>
    <row r="72" spans="1:26" ht="71.25" customHeight="1">
      <c r="A72" s="16" t="s">
        <v>221</v>
      </c>
      <c r="B72" s="16" t="s">
        <v>222</v>
      </c>
      <c r="C72" s="17" t="s">
        <v>1777</v>
      </c>
      <c r="D72" s="27" t="s">
        <v>1478</v>
      </c>
      <c r="E72" s="27" t="s">
        <v>1782</v>
      </c>
      <c r="F72" s="16" t="s">
        <v>1783</v>
      </c>
      <c r="G72" s="16">
        <v>1354459600000</v>
      </c>
      <c r="H72" s="16" t="s">
        <v>226</v>
      </c>
      <c r="I72" s="16" t="s">
        <v>1784</v>
      </c>
      <c r="J72" s="19">
        <v>10.9460126070794</v>
      </c>
      <c r="K72" s="16" t="s">
        <v>1785</v>
      </c>
      <c r="L72" s="18" t="s">
        <v>81</v>
      </c>
      <c r="M72" s="16" t="s">
        <v>1144</v>
      </c>
      <c r="N72" s="16" t="s">
        <v>1786</v>
      </c>
      <c r="O72" s="16" t="s">
        <v>1787</v>
      </c>
      <c r="P72" s="16"/>
      <c r="Q72" s="16" t="s">
        <v>1482</v>
      </c>
      <c r="R72" s="16" t="s">
        <v>1788</v>
      </c>
      <c r="S72" s="16" t="s">
        <v>253</v>
      </c>
      <c r="T72" s="16" t="s">
        <v>1484</v>
      </c>
      <c r="U72" s="17" t="s">
        <v>1789</v>
      </c>
      <c r="V72" s="16" t="s">
        <v>84</v>
      </c>
      <c r="W72" s="16" t="s">
        <v>85</v>
      </c>
      <c r="X72" s="16" t="s">
        <v>86</v>
      </c>
      <c r="Y72" s="16" t="s">
        <v>87</v>
      </c>
      <c r="Z72" s="16" t="s">
        <v>89</v>
      </c>
    </row>
    <row r="73" spans="1:26" ht="71.25" customHeight="1">
      <c r="A73" s="16" t="s">
        <v>244</v>
      </c>
      <c r="B73" s="16" t="s">
        <v>245</v>
      </c>
      <c r="C73" s="17" t="s">
        <v>246</v>
      </c>
      <c r="D73" s="27" t="s">
        <v>1478</v>
      </c>
      <c r="E73" s="27" t="s">
        <v>247</v>
      </c>
      <c r="F73" s="16" t="s">
        <v>248</v>
      </c>
      <c r="G73" s="16">
        <v>2450300000000</v>
      </c>
      <c r="H73" s="16" t="s">
        <v>249</v>
      </c>
      <c r="I73" s="16" t="s">
        <v>1790</v>
      </c>
      <c r="J73" s="19">
        <v>7.3003813609820103</v>
      </c>
      <c r="K73" s="16" t="s">
        <v>227</v>
      </c>
      <c r="L73" s="18" t="s">
        <v>81</v>
      </c>
      <c r="M73" s="16" t="s">
        <v>958</v>
      </c>
      <c r="N73" s="16" t="s">
        <v>1791</v>
      </c>
      <c r="O73" s="16" t="s">
        <v>250</v>
      </c>
      <c r="P73" s="16" t="s">
        <v>251</v>
      </c>
      <c r="Q73" s="16" t="s">
        <v>1482</v>
      </c>
      <c r="R73" s="16" t="s">
        <v>1792</v>
      </c>
      <c r="S73" s="16" t="s">
        <v>253</v>
      </c>
      <c r="T73" s="16" t="s">
        <v>1484</v>
      </c>
      <c r="U73" s="16" t="s">
        <v>1526</v>
      </c>
      <c r="V73" s="16" t="s">
        <v>84</v>
      </c>
      <c r="W73" s="16" t="s">
        <v>85</v>
      </c>
      <c r="X73" s="16" t="s">
        <v>105</v>
      </c>
      <c r="Y73" s="16" t="s">
        <v>106</v>
      </c>
      <c r="Z73" s="16" t="s">
        <v>89</v>
      </c>
    </row>
    <row r="74" spans="1:26" ht="57" customHeight="1">
      <c r="A74" s="16" t="s">
        <v>330</v>
      </c>
      <c r="B74" s="16" t="s">
        <v>331</v>
      </c>
      <c r="C74" s="17" t="s">
        <v>1793</v>
      </c>
      <c r="D74" s="27" t="s">
        <v>1478</v>
      </c>
      <c r="E74" s="27" t="s">
        <v>333</v>
      </c>
      <c r="F74" s="16" t="s">
        <v>333</v>
      </c>
      <c r="G74" s="16">
        <v>7216300000000</v>
      </c>
      <c r="H74" s="16" t="s">
        <v>334</v>
      </c>
      <c r="I74" s="16" t="s">
        <v>1794</v>
      </c>
      <c r="J74" s="19">
        <v>2.1224411764705899</v>
      </c>
      <c r="K74" s="16" t="s">
        <v>204</v>
      </c>
      <c r="L74" s="18" t="s">
        <v>81</v>
      </c>
      <c r="M74" s="16" t="s">
        <v>972</v>
      </c>
      <c r="N74" s="16" t="s">
        <v>1795</v>
      </c>
      <c r="O74" s="16" t="s">
        <v>335</v>
      </c>
      <c r="P74" s="16"/>
      <c r="Q74" s="16" t="s">
        <v>1482</v>
      </c>
      <c r="R74" s="16" t="s">
        <v>1796</v>
      </c>
      <c r="S74" s="16" t="s">
        <v>253</v>
      </c>
      <c r="T74" s="16" t="s">
        <v>1484</v>
      </c>
      <c r="U74" s="17" t="s">
        <v>1797</v>
      </c>
      <c r="V74" s="16" t="s">
        <v>84</v>
      </c>
      <c r="W74" s="16" t="s">
        <v>85</v>
      </c>
      <c r="X74" s="16" t="s">
        <v>105</v>
      </c>
      <c r="Y74" s="16" t="s">
        <v>106</v>
      </c>
      <c r="Z74" s="16" t="s">
        <v>89</v>
      </c>
    </row>
    <row r="75" spans="1:26" ht="57" customHeight="1">
      <c r="A75" s="16" t="s">
        <v>353</v>
      </c>
      <c r="B75" s="16" t="s">
        <v>354</v>
      </c>
      <c r="C75" s="17" t="s">
        <v>355</v>
      </c>
      <c r="D75" s="27" t="s">
        <v>1478</v>
      </c>
      <c r="E75" s="27" t="s">
        <v>356</v>
      </c>
      <c r="F75" s="16" t="s">
        <v>357</v>
      </c>
      <c r="G75" s="16">
        <v>10838400000000</v>
      </c>
      <c r="H75" s="16" t="s">
        <v>358</v>
      </c>
      <c r="I75" s="16" t="s">
        <v>1798</v>
      </c>
      <c r="J75" s="19">
        <v>0.84675</v>
      </c>
      <c r="K75" s="16" t="s">
        <v>359</v>
      </c>
      <c r="L75" s="18" t="s">
        <v>81</v>
      </c>
      <c r="M75" s="16" t="s">
        <v>1799</v>
      </c>
      <c r="N75" s="16" t="s">
        <v>1800</v>
      </c>
      <c r="O75" s="16" t="s">
        <v>360</v>
      </c>
      <c r="P75" s="16"/>
      <c r="Q75" s="16" t="s">
        <v>1482</v>
      </c>
      <c r="R75" s="16" t="s">
        <v>1801</v>
      </c>
      <c r="S75" s="16" t="s">
        <v>253</v>
      </c>
      <c r="T75" s="16" t="s">
        <v>1484</v>
      </c>
      <c r="U75" s="17" t="s">
        <v>1802</v>
      </c>
      <c r="V75" s="16" t="s">
        <v>84</v>
      </c>
      <c r="W75" s="16" t="s">
        <v>85</v>
      </c>
      <c r="X75" s="16" t="s">
        <v>86</v>
      </c>
      <c r="Y75" s="16" t="s">
        <v>87</v>
      </c>
      <c r="Z75" s="16" t="s">
        <v>89</v>
      </c>
    </row>
    <row r="76" spans="1:26" ht="71.25" customHeight="1">
      <c r="A76" s="16" t="s">
        <v>373</v>
      </c>
      <c r="B76" s="16" t="s">
        <v>374</v>
      </c>
      <c r="C76" s="17" t="s">
        <v>375</v>
      </c>
      <c r="D76" s="29" t="s">
        <v>1486</v>
      </c>
      <c r="E76" s="29" t="s">
        <v>376</v>
      </c>
      <c r="F76" s="16" t="s">
        <v>377</v>
      </c>
      <c r="G76" s="16">
        <v>26100000000</v>
      </c>
      <c r="H76" s="16" t="s">
        <v>378</v>
      </c>
      <c r="I76" s="16" t="s">
        <v>1803</v>
      </c>
      <c r="J76" s="19">
        <v>2.8369565217391299</v>
      </c>
      <c r="K76" s="16" t="s">
        <v>204</v>
      </c>
      <c r="L76" s="18" t="s">
        <v>81</v>
      </c>
      <c r="M76" s="16" t="s">
        <v>977</v>
      </c>
      <c r="N76" s="16" t="s">
        <v>1804</v>
      </c>
      <c r="O76" s="16" t="s">
        <v>379</v>
      </c>
      <c r="P76" s="16"/>
      <c r="Q76" s="16" t="s">
        <v>1482</v>
      </c>
      <c r="R76" s="16" t="s">
        <v>1805</v>
      </c>
      <c r="S76" s="16" t="s">
        <v>253</v>
      </c>
      <c r="T76" s="16" t="s">
        <v>1484</v>
      </c>
      <c r="U76" s="16" t="s">
        <v>1806</v>
      </c>
      <c r="V76" s="16" t="s">
        <v>84</v>
      </c>
      <c r="W76" s="16" t="s">
        <v>85</v>
      </c>
      <c r="X76" s="16" t="s">
        <v>86</v>
      </c>
      <c r="Y76" s="16" t="s">
        <v>87</v>
      </c>
      <c r="Z76" s="16" t="s">
        <v>89</v>
      </c>
    </row>
    <row r="77" spans="1:26" ht="71.25" customHeight="1">
      <c r="A77" s="16" t="s">
        <v>382</v>
      </c>
      <c r="B77" s="16" t="s">
        <v>383</v>
      </c>
      <c r="C77" s="17" t="s">
        <v>384</v>
      </c>
      <c r="D77" s="29" t="s">
        <v>1486</v>
      </c>
      <c r="E77" s="29" t="s">
        <v>385</v>
      </c>
      <c r="F77" s="16" t="s">
        <v>386</v>
      </c>
      <c r="G77" s="16">
        <v>33650000000</v>
      </c>
      <c r="H77" s="16" t="s">
        <v>387</v>
      </c>
      <c r="I77" s="16" t="s">
        <v>1807</v>
      </c>
      <c r="J77" s="19">
        <v>9.6142857142857192</v>
      </c>
      <c r="K77" s="16" t="s">
        <v>388</v>
      </c>
      <c r="L77" s="20" t="s">
        <v>102</v>
      </c>
      <c r="M77" s="16" t="s">
        <v>1808</v>
      </c>
      <c r="N77" s="16" t="s">
        <v>1809</v>
      </c>
      <c r="O77" s="16" t="s">
        <v>389</v>
      </c>
      <c r="P77" s="16"/>
      <c r="Q77" s="16" t="s">
        <v>1738</v>
      </c>
      <c r="R77" s="16" t="s">
        <v>1810</v>
      </c>
      <c r="S77" s="16" t="s">
        <v>253</v>
      </c>
      <c r="T77" s="16" t="s">
        <v>1484</v>
      </c>
      <c r="U77" s="17" t="s">
        <v>1811</v>
      </c>
      <c r="V77" s="16" t="s">
        <v>84</v>
      </c>
      <c r="W77" s="16" t="s">
        <v>85</v>
      </c>
      <c r="X77" s="16" t="s">
        <v>105</v>
      </c>
      <c r="Y77" s="16" t="s">
        <v>106</v>
      </c>
      <c r="Z77" s="16" t="s">
        <v>89</v>
      </c>
    </row>
    <row r="78" spans="1:26" ht="42.75" customHeight="1">
      <c r="A78" s="16" t="s">
        <v>908</v>
      </c>
      <c r="B78" s="16" t="s">
        <v>909</v>
      </c>
      <c r="C78" s="17" t="s">
        <v>910</v>
      </c>
      <c r="D78" s="29" t="s">
        <v>1486</v>
      </c>
      <c r="E78" s="29" t="s">
        <v>911</v>
      </c>
      <c r="F78" s="16" t="s">
        <v>911</v>
      </c>
      <c r="G78" s="16">
        <v>118600000000</v>
      </c>
      <c r="H78" s="16" t="s">
        <v>912</v>
      </c>
      <c r="I78" s="16" t="s">
        <v>1812</v>
      </c>
      <c r="J78" s="19">
        <v>87.851851851851904</v>
      </c>
      <c r="K78" s="16" t="s">
        <v>227</v>
      </c>
      <c r="L78" s="20" t="s">
        <v>102</v>
      </c>
      <c r="M78" s="16" t="s">
        <v>1813</v>
      </c>
      <c r="N78" s="16" t="s">
        <v>1814</v>
      </c>
      <c r="O78" s="16" t="s">
        <v>913</v>
      </c>
      <c r="P78" s="16"/>
      <c r="Q78" s="16" t="s">
        <v>1738</v>
      </c>
      <c r="R78" s="16" t="s">
        <v>1815</v>
      </c>
      <c r="S78" s="16" t="s">
        <v>253</v>
      </c>
      <c r="T78" s="16" t="s">
        <v>1484</v>
      </c>
      <c r="U78" s="17" t="s">
        <v>1816</v>
      </c>
      <c r="V78" s="16" t="s">
        <v>186</v>
      </c>
      <c r="W78" s="16" t="s">
        <v>187</v>
      </c>
      <c r="X78" s="16" t="s">
        <v>188</v>
      </c>
      <c r="Y78" s="16" t="s">
        <v>189</v>
      </c>
      <c r="Z78" s="16" t="s">
        <v>89</v>
      </c>
    </row>
    <row r="79" spans="1:26" ht="57" customHeight="1">
      <c r="A79" s="16" t="s">
        <v>391</v>
      </c>
      <c r="B79" s="16" t="s">
        <v>392</v>
      </c>
      <c r="C79" s="17" t="s">
        <v>393</v>
      </c>
      <c r="D79" s="29" t="s">
        <v>1486</v>
      </c>
      <c r="E79" s="29" t="s">
        <v>394</v>
      </c>
      <c r="F79" s="16" t="s">
        <v>395</v>
      </c>
      <c r="G79" s="16">
        <v>221700000000000</v>
      </c>
      <c r="H79" s="16" t="s">
        <v>396</v>
      </c>
      <c r="I79" s="16" t="s">
        <v>1817</v>
      </c>
      <c r="J79" s="19">
        <v>54.0731707317073</v>
      </c>
      <c r="K79" s="16" t="s">
        <v>397</v>
      </c>
      <c r="L79" s="20" t="s">
        <v>102</v>
      </c>
      <c r="M79" s="16" t="s">
        <v>1818</v>
      </c>
      <c r="N79" s="16" t="s">
        <v>1819</v>
      </c>
      <c r="O79" s="16" t="s">
        <v>398</v>
      </c>
      <c r="P79" s="16"/>
      <c r="Q79" s="16" t="s">
        <v>1738</v>
      </c>
      <c r="R79" s="16" t="s">
        <v>1820</v>
      </c>
      <c r="S79" s="16" t="s">
        <v>253</v>
      </c>
      <c r="T79" s="16" t="s">
        <v>1484</v>
      </c>
      <c r="U79" s="16" t="s">
        <v>1821</v>
      </c>
      <c r="V79" s="16" t="s">
        <v>84</v>
      </c>
      <c r="W79" s="16" t="s">
        <v>85</v>
      </c>
      <c r="X79" s="16" t="s">
        <v>105</v>
      </c>
      <c r="Y79" s="16" t="s">
        <v>106</v>
      </c>
      <c r="Z79" s="16" t="s">
        <v>190</v>
      </c>
    </row>
    <row r="80" spans="1:26" ht="85.5" customHeight="1">
      <c r="A80" s="16" t="s">
        <v>467</v>
      </c>
      <c r="B80" s="16" t="s">
        <v>468</v>
      </c>
      <c r="C80" s="17" t="s">
        <v>469</v>
      </c>
      <c r="D80" s="27" t="s">
        <v>1478</v>
      </c>
      <c r="E80" s="27" t="s">
        <v>470</v>
      </c>
      <c r="F80" s="16" t="s">
        <v>471</v>
      </c>
      <c r="G80" s="16">
        <v>4469515000</v>
      </c>
      <c r="H80" s="16" t="s">
        <v>472</v>
      </c>
      <c r="I80" s="16" t="s">
        <v>1822</v>
      </c>
      <c r="J80" s="19">
        <v>1.4417790322580699</v>
      </c>
      <c r="K80" s="16" t="s">
        <v>161</v>
      </c>
      <c r="L80" s="18" t="s">
        <v>81</v>
      </c>
      <c r="M80" s="16" t="s">
        <v>991</v>
      </c>
      <c r="N80" s="16" t="s">
        <v>1823</v>
      </c>
      <c r="O80" s="16" t="s">
        <v>473</v>
      </c>
      <c r="P80" s="16"/>
      <c r="Q80" s="16" t="s">
        <v>1482</v>
      </c>
      <c r="R80" s="16" t="s">
        <v>1824</v>
      </c>
      <c r="S80" s="16" t="s">
        <v>253</v>
      </c>
      <c r="T80" s="16" t="s">
        <v>1484</v>
      </c>
      <c r="U80" s="16"/>
      <c r="V80" s="16" t="s">
        <v>84</v>
      </c>
      <c r="W80" s="16" t="s">
        <v>85</v>
      </c>
      <c r="X80" s="16" t="s">
        <v>86</v>
      </c>
      <c r="Y80" s="16" t="s">
        <v>87</v>
      </c>
      <c r="Z80" s="16" t="s">
        <v>89</v>
      </c>
    </row>
    <row r="81" spans="1:26" ht="85.5" customHeight="1">
      <c r="A81" s="16" t="s">
        <v>467</v>
      </c>
      <c r="B81" s="16" t="s">
        <v>468</v>
      </c>
      <c r="C81" s="17" t="s">
        <v>469</v>
      </c>
      <c r="D81" s="29" t="s">
        <v>1486</v>
      </c>
      <c r="E81" s="29" t="s">
        <v>1825</v>
      </c>
      <c r="F81" s="16" t="s">
        <v>1826</v>
      </c>
      <c r="G81" s="16">
        <v>5389000000</v>
      </c>
      <c r="H81" s="16" t="s">
        <v>472</v>
      </c>
      <c r="I81" s="16" t="s">
        <v>1827</v>
      </c>
      <c r="J81" s="19">
        <v>1.7383870967741899</v>
      </c>
      <c r="K81" s="16" t="s">
        <v>227</v>
      </c>
      <c r="L81" s="20" t="s">
        <v>102</v>
      </c>
      <c r="M81" s="16" t="s">
        <v>1828</v>
      </c>
      <c r="N81" s="16" t="s">
        <v>1829</v>
      </c>
      <c r="O81" s="16" t="s">
        <v>1830</v>
      </c>
      <c r="P81" s="16"/>
      <c r="Q81" s="16" t="s">
        <v>1738</v>
      </c>
      <c r="R81" s="16" t="s">
        <v>1831</v>
      </c>
      <c r="S81" s="16" t="s">
        <v>253</v>
      </c>
      <c r="T81" s="16" t="s">
        <v>1484</v>
      </c>
      <c r="U81" s="16"/>
      <c r="V81" s="16" t="s">
        <v>84</v>
      </c>
      <c r="W81" s="16" t="s">
        <v>85</v>
      </c>
      <c r="X81" s="16" t="s">
        <v>86</v>
      </c>
      <c r="Y81" s="16" t="s">
        <v>87</v>
      </c>
      <c r="Z81" s="16" t="s">
        <v>89</v>
      </c>
    </row>
    <row r="82" spans="1:26" ht="57" customHeight="1">
      <c r="A82" s="16" t="s">
        <v>555</v>
      </c>
      <c r="B82" s="16" t="s">
        <v>38</v>
      </c>
      <c r="C82" s="17" t="s">
        <v>556</v>
      </c>
      <c r="D82" s="29" t="s">
        <v>1486</v>
      </c>
      <c r="E82" s="29" t="s">
        <v>557</v>
      </c>
      <c r="F82" s="16" t="s">
        <v>558</v>
      </c>
      <c r="G82" s="16">
        <v>32200000000</v>
      </c>
      <c r="H82" s="16" t="s">
        <v>559</v>
      </c>
      <c r="I82" s="16" t="s">
        <v>1832</v>
      </c>
      <c r="J82" s="19">
        <v>32.200000000000003</v>
      </c>
      <c r="K82" s="16" t="s">
        <v>157</v>
      </c>
      <c r="L82" s="20" t="s">
        <v>102</v>
      </c>
      <c r="M82" s="16" t="s">
        <v>1833</v>
      </c>
      <c r="N82" s="16" t="s">
        <v>1834</v>
      </c>
      <c r="O82" s="16" t="s">
        <v>560</v>
      </c>
      <c r="P82" s="16"/>
      <c r="Q82" s="16" t="s">
        <v>1738</v>
      </c>
      <c r="R82" s="16" t="s">
        <v>1835</v>
      </c>
      <c r="S82" s="16" t="s">
        <v>253</v>
      </c>
      <c r="T82" s="16" t="s">
        <v>1484</v>
      </c>
      <c r="U82" s="17" t="s">
        <v>1836</v>
      </c>
      <c r="V82" s="16" t="s">
        <v>84</v>
      </c>
      <c r="W82" s="16" t="s">
        <v>85</v>
      </c>
      <c r="X82" s="16" t="s">
        <v>188</v>
      </c>
      <c r="Y82" s="16" t="s">
        <v>189</v>
      </c>
      <c r="Z82" s="16" t="s">
        <v>89</v>
      </c>
    </row>
    <row r="83" spans="1:26" ht="57" customHeight="1">
      <c r="A83" s="16" t="s">
        <v>564</v>
      </c>
      <c r="B83" s="16" t="s">
        <v>565</v>
      </c>
      <c r="C83" s="17" t="s">
        <v>566</v>
      </c>
      <c r="D83" s="27" t="s">
        <v>1478</v>
      </c>
      <c r="E83" s="27" t="s">
        <v>567</v>
      </c>
      <c r="F83" s="16" t="s">
        <v>568</v>
      </c>
      <c r="G83" s="16">
        <v>257500000</v>
      </c>
      <c r="H83" s="16" t="s">
        <v>569</v>
      </c>
      <c r="I83" s="16" t="s">
        <v>1837</v>
      </c>
      <c r="J83" s="19">
        <v>0.36318758815232699</v>
      </c>
      <c r="K83" s="16" t="s">
        <v>204</v>
      </c>
      <c r="L83" s="20" t="s">
        <v>102</v>
      </c>
      <c r="M83" s="16" t="s">
        <v>1838</v>
      </c>
      <c r="N83" s="28" t="s">
        <v>1839</v>
      </c>
      <c r="O83" s="16" t="s">
        <v>570</v>
      </c>
      <c r="P83" s="16"/>
      <c r="Q83" s="16" t="s">
        <v>1738</v>
      </c>
      <c r="R83" s="28" t="s">
        <v>1840</v>
      </c>
      <c r="S83" s="16" t="s">
        <v>253</v>
      </c>
      <c r="T83" s="16" t="s">
        <v>1484</v>
      </c>
      <c r="U83" s="17" t="s">
        <v>1841</v>
      </c>
      <c r="V83" s="16" t="s">
        <v>84</v>
      </c>
      <c r="W83" s="16" t="s">
        <v>85</v>
      </c>
      <c r="X83" s="16" t="s">
        <v>105</v>
      </c>
      <c r="Y83" s="16" t="s">
        <v>106</v>
      </c>
      <c r="Z83" s="16" t="s">
        <v>89</v>
      </c>
    </row>
    <row r="84" spans="1:26" ht="57" customHeight="1">
      <c r="A84" s="16" t="s">
        <v>564</v>
      </c>
      <c r="B84" s="16" t="s">
        <v>565</v>
      </c>
      <c r="C84" s="17" t="s">
        <v>566</v>
      </c>
      <c r="D84" s="29" t="s">
        <v>1486</v>
      </c>
      <c r="E84" s="29" t="s">
        <v>1842</v>
      </c>
      <c r="F84" s="16" t="s">
        <v>1843</v>
      </c>
      <c r="G84" s="16">
        <v>4450000000</v>
      </c>
      <c r="H84" s="16" t="s">
        <v>569</v>
      </c>
      <c r="I84" s="16" t="s">
        <v>1844</v>
      </c>
      <c r="J84" s="19">
        <v>6.2764456981664303</v>
      </c>
      <c r="K84" s="16" t="s">
        <v>204</v>
      </c>
      <c r="L84" s="20" t="s">
        <v>102</v>
      </c>
      <c r="M84" s="16" t="s">
        <v>1845</v>
      </c>
      <c r="N84" s="16" t="s">
        <v>1846</v>
      </c>
      <c r="O84" s="16" t="s">
        <v>1847</v>
      </c>
      <c r="P84" s="16"/>
      <c r="Q84" s="16" t="s">
        <v>1738</v>
      </c>
      <c r="R84" s="16" t="s">
        <v>1848</v>
      </c>
      <c r="S84" s="16" t="s">
        <v>253</v>
      </c>
      <c r="T84" s="16" t="s">
        <v>1484</v>
      </c>
      <c r="U84" s="16"/>
      <c r="V84" s="16" t="s">
        <v>84</v>
      </c>
      <c r="W84" s="16" t="s">
        <v>85</v>
      </c>
      <c r="X84" s="16" t="s">
        <v>105</v>
      </c>
      <c r="Y84" s="16" t="s">
        <v>106</v>
      </c>
      <c r="Z84" s="16" t="s">
        <v>89</v>
      </c>
    </row>
    <row r="85" spans="1:26" ht="85.5" customHeight="1">
      <c r="A85" s="16" t="s">
        <v>363</v>
      </c>
      <c r="B85" s="16" t="s">
        <v>364</v>
      </c>
      <c r="C85" s="17" t="s">
        <v>365</v>
      </c>
      <c r="D85" s="27" t="s">
        <v>1478</v>
      </c>
      <c r="E85" s="27" t="s">
        <v>366</v>
      </c>
      <c r="F85" s="16" t="s">
        <v>367</v>
      </c>
      <c r="G85" s="16">
        <v>57600000000</v>
      </c>
      <c r="H85" s="16" t="s">
        <v>368</v>
      </c>
      <c r="I85" s="16" t="s">
        <v>1849</v>
      </c>
      <c r="J85" s="19">
        <v>0.66206896551724104</v>
      </c>
      <c r="K85" s="16" t="s">
        <v>110</v>
      </c>
      <c r="L85" s="20" t="s">
        <v>102</v>
      </c>
      <c r="M85" s="16" t="s">
        <v>1850</v>
      </c>
      <c r="N85" s="16" t="s">
        <v>1851</v>
      </c>
      <c r="O85" s="16" t="s">
        <v>369</v>
      </c>
      <c r="P85" s="16"/>
      <c r="Q85" s="16"/>
      <c r="R85" s="16" t="s">
        <v>1852</v>
      </c>
      <c r="S85" s="16" t="s">
        <v>253</v>
      </c>
      <c r="T85" s="16" t="s">
        <v>1484</v>
      </c>
      <c r="U85" s="17" t="s">
        <v>1853</v>
      </c>
      <c r="V85" s="16" t="s">
        <v>84</v>
      </c>
      <c r="W85" s="16" t="s">
        <v>85</v>
      </c>
      <c r="X85" s="16" t="s">
        <v>86</v>
      </c>
      <c r="Y85" s="16" t="s">
        <v>87</v>
      </c>
      <c r="Z85" s="16" t="s">
        <v>89</v>
      </c>
    </row>
    <row r="86" spans="1:26" ht="71.25" customHeight="1">
      <c r="A86" s="16" t="s">
        <v>363</v>
      </c>
      <c r="B86" s="16" t="s">
        <v>364</v>
      </c>
      <c r="C86" s="17" t="s">
        <v>365</v>
      </c>
      <c r="D86" s="27" t="s">
        <v>1478</v>
      </c>
      <c r="E86" s="27" t="s">
        <v>366</v>
      </c>
      <c r="F86" s="16" t="s">
        <v>1854</v>
      </c>
      <c r="G86" s="16">
        <v>54400000000</v>
      </c>
      <c r="H86" s="16" t="s">
        <v>368</v>
      </c>
      <c r="I86" s="16" t="s">
        <v>1849</v>
      </c>
      <c r="J86" s="19">
        <v>0.62528735632183896</v>
      </c>
      <c r="K86" s="16" t="s">
        <v>123</v>
      </c>
      <c r="L86" s="18" t="s">
        <v>81</v>
      </c>
      <c r="M86" s="16" t="s">
        <v>1855</v>
      </c>
      <c r="N86" s="16" t="s">
        <v>1856</v>
      </c>
      <c r="O86" s="16" t="s">
        <v>1857</v>
      </c>
      <c r="P86" s="16"/>
      <c r="Q86" s="16"/>
      <c r="R86" s="16" t="s">
        <v>1858</v>
      </c>
      <c r="S86" s="16" t="s">
        <v>253</v>
      </c>
      <c r="T86" s="16" t="s">
        <v>1484</v>
      </c>
      <c r="U86" s="16" t="s">
        <v>1859</v>
      </c>
      <c r="V86" s="16" t="s">
        <v>84</v>
      </c>
      <c r="W86" s="16" t="s">
        <v>85</v>
      </c>
      <c r="X86" s="16" t="s">
        <v>86</v>
      </c>
      <c r="Y86" s="16" t="s">
        <v>87</v>
      </c>
      <c r="Z86" s="16" t="s">
        <v>89</v>
      </c>
    </row>
    <row r="87" spans="1:26" ht="71.25" customHeight="1">
      <c r="A87" s="16" t="s">
        <v>477</v>
      </c>
      <c r="B87" s="16" t="s">
        <v>478</v>
      </c>
      <c r="C87" s="17" t="s">
        <v>479</v>
      </c>
      <c r="D87" s="29" t="s">
        <v>1486</v>
      </c>
      <c r="E87" s="29" t="s">
        <v>480</v>
      </c>
      <c r="F87" s="16" t="s">
        <v>481</v>
      </c>
      <c r="G87" s="16">
        <v>17108000000</v>
      </c>
      <c r="H87" s="16" t="s">
        <v>482</v>
      </c>
      <c r="I87" s="16" t="s">
        <v>1860</v>
      </c>
      <c r="J87" s="19">
        <v>3.0727230274619699</v>
      </c>
      <c r="K87" s="16" t="s">
        <v>204</v>
      </c>
      <c r="L87" s="18" t="s">
        <v>81</v>
      </c>
      <c r="M87" s="16" t="s">
        <v>1861</v>
      </c>
      <c r="N87" s="16" t="s">
        <v>1862</v>
      </c>
      <c r="O87" s="16" t="s">
        <v>483</v>
      </c>
      <c r="P87" s="16"/>
      <c r="Q87" s="16"/>
      <c r="R87" s="16" t="s">
        <v>1863</v>
      </c>
      <c r="S87" s="16" t="s">
        <v>253</v>
      </c>
      <c r="T87" s="16" t="s">
        <v>1484</v>
      </c>
      <c r="U87" s="17" t="s">
        <v>1864</v>
      </c>
      <c r="V87" s="16" t="s">
        <v>84</v>
      </c>
      <c r="W87" s="16" t="s">
        <v>85</v>
      </c>
      <c r="X87" s="16" t="s">
        <v>105</v>
      </c>
      <c r="Y87" s="16" t="s">
        <v>106</v>
      </c>
      <c r="Z87" s="16" t="s">
        <v>89</v>
      </c>
    </row>
    <row r="88" spans="1:26" ht="85.5" customHeight="1">
      <c r="A88" s="16" t="s">
        <v>532</v>
      </c>
      <c r="B88" s="16" t="s">
        <v>533</v>
      </c>
      <c r="C88" s="17" t="s">
        <v>534</v>
      </c>
      <c r="D88" s="29" t="s">
        <v>1486</v>
      </c>
      <c r="E88" s="29" t="s">
        <v>480</v>
      </c>
      <c r="F88" s="16" t="s">
        <v>524</v>
      </c>
      <c r="G88" s="16">
        <v>114700000000</v>
      </c>
      <c r="H88" s="16" t="s">
        <v>535</v>
      </c>
      <c r="I88" s="28" t="s">
        <v>1865</v>
      </c>
      <c r="J88" s="19">
        <v>31.510989010989</v>
      </c>
      <c r="K88" s="16" t="s">
        <v>536</v>
      </c>
      <c r="L88" s="20" t="s">
        <v>102</v>
      </c>
      <c r="M88" s="16" t="s">
        <v>1866</v>
      </c>
      <c r="N88" s="28" t="s">
        <v>1867</v>
      </c>
      <c r="O88" s="16" t="s">
        <v>537</v>
      </c>
      <c r="P88" s="16"/>
      <c r="Q88" s="16"/>
      <c r="R88" s="28" t="s">
        <v>1868</v>
      </c>
      <c r="S88" s="16" t="s">
        <v>253</v>
      </c>
      <c r="T88" s="16" t="s">
        <v>1484</v>
      </c>
      <c r="U88" s="16"/>
      <c r="V88" s="16" t="s">
        <v>84</v>
      </c>
      <c r="W88" s="16" t="s">
        <v>85</v>
      </c>
      <c r="X88" s="16" t="s">
        <v>188</v>
      </c>
      <c r="Y88" s="16" t="s">
        <v>189</v>
      </c>
      <c r="Z88" s="16" t="s">
        <v>89</v>
      </c>
    </row>
    <row r="89" spans="1:26" ht="57" customHeight="1">
      <c r="A89" s="16" t="s">
        <v>597</v>
      </c>
      <c r="B89" s="16" t="s">
        <v>598</v>
      </c>
      <c r="C89" s="17" t="s">
        <v>599</v>
      </c>
      <c r="D89" s="29" t="s">
        <v>1486</v>
      </c>
      <c r="E89" s="29" t="s">
        <v>480</v>
      </c>
      <c r="F89" s="16" t="s">
        <v>600</v>
      </c>
      <c r="G89" s="16">
        <v>3110000000</v>
      </c>
      <c r="H89" s="16" t="s">
        <v>559</v>
      </c>
      <c r="I89" s="16" t="s">
        <v>1869</v>
      </c>
      <c r="J89" s="19">
        <v>3.11</v>
      </c>
      <c r="K89" s="16" t="s">
        <v>101</v>
      </c>
      <c r="L89" s="20" t="s">
        <v>102</v>
      </c>
      <c r="M89" s="16" t="s">
        <v>1870</v>
      </c>
      <c r="N89" s="28" t="s">
        <v>1871</v>
      </c>
      <c r="O89" s="16" t="s">
        <v>1872</v>
      </c>
      <c r="P89" s="16"/>
      <c r="Q89" s="16"/>
      <c r="R89" s="28" t="s">
        <v>1873</v>
      </c>
      <c r="S89" s="16" t="s">
        <v>253</v>
      </c>
      <c r="T89" s="16" t="s">
        <v>1484</v>
      </c>
      <c r="U89" s="16" t="s">
        <v>1874</v>
      </c>
      <c r="V89" s="16" t="s">
        <v>84</v>
      </c>
      <c r="W89" s="16" t="s">
        <v>85</v>
      </c>
      <c r="X89" s="16" t="s">
        <v>86</v>
      </c>
      <c r="Y89" s="16" t="s">
        <v>87</v>
      </c>
      <c r="Z89" s="16" t="s">
        <v>89</v>
      </c>
    </row>
    <row r="90" spans="1:26" ht="57" customHeight="1">
      <c r="A90" s="16" t="s">
        <v>710</v>
      </c>
      <c r="B90" s="16" t="s">
        <v>711</v>
      </c>
      <c r="C90" s="17" t="s">
        <v>712</v>
      </c>
      <c r="D90" s="25" t="s">
        <v>1501</v>
      </c>
      <c r="E90" s="25" t="s">
        <v>713</v>
      </c>
      <c r="F90" s="16" t="s">
        <v>714</v>
      </c>
      <c r="G90" s="16">
        <v>5100669400</v>
      </c>
      <c r="H90" s="16" t="s">
        <v>715</v>
      </c>
      <c r="I90" s="16" t="s">
        <v>715</v>
      </c>
      <c r="J90" s="19">
        <v>0.18891368148148199</v>
      </c>
      <c r="K90" s="16" t="s">
        <v>716</v>
      </c>
      <c r="L90" s="20" t="s">
        <v>102</v>
      </c>
      <c r="M90" s="16" t="s">
        <v>1875</v>
      </c>
      <c r="N90" s="16" t="s">
        <v>1876</v>
      </c>
      <c r="O90" s="16" t="s">
        <v>717</v>
      </c>
      <c r="P90" s="16"/>
      <c r="Q90" s="16"/>
      <c r="R90" s="16" t="s">
        <v>1877</v>
      </c>
      <c r="S90" s="16" t="s">
        <v>253</v>
      </c>
      <c r="T90" s="16" t="s">
        <v>1484</v>
      </c>
      <c r="U90" s="16" t="s">
        <v>1878</v>
      </c>
      <c r="V90" s="16" t="s">
        <v>84</v>
      </c>
      <c r="W90" s="16" t="s">
        <v>85</v>
      </c>
      <c r="X90" s="16" t="s">
        <v>86</v>
      </c>
      <c r="Y90" s="16" t="s">
        <v>87</v>
      </c>
      <c r="Z90" s="16" t="s">
        <v>89</v>
      </c>
    </row>
    <row r="91" spans="1:26" ht="57" customHeight="1">
      <c r="A91" s="16" t="s">
        <v>762</v>
      </c>
      <c r="B91" s="16" t="s">
        <v>763</v>
      </c>
      <c r="C91" s="17" t="s">
        <v>764</v>
      </c>
      <c r="D91" s="27" t="s">
        <v>1478</v>
      </c>
      <c r="E91" s="27" t="s">
        <v>366</v>
      </c>
      <c r="F91" s="16" t="s">
        <v>1879</v>
      </c>
      <c r="G91" s="16">
        <v>769477025679.52002</v>
      </c>
      <c r="H91" s="16" t="s">
        <v>766</v>
      </c>
      <c r="I91" s="16" t="s">
        <v>1880</v>
      </c>
      <c r="J91" s="19">
        <v>0.170994894595449</v>
      </c>
      <c r="K91" s="16" t="s">
        <v>716</v>
      </c>
      <c r="L91" s="20" t="s">
        <v>81</v>
      </c>
      <c r="M91" s="16" t="s">
        <v>1881</v>
      </c>
      <c r="N91" s="16" t="s">
        <v>1384</v>
      </c>
      <c r="O91" s="16" t="s">
        <v>767</v>
      </c>
      <c r="P91" s="16"/>
      <c r="Q91" s="16"/>
      <c r="R91" s="16" t="s">
        <v>1882</v>
      </c>
      <c r="S91" s="16" t="s">
        <v>253</v>
      </c>
      <c r="T91" s="16" t="s">
        <v>1484</v>
      </c>
      <c r="U91" s="16" t="s">
        <v>1883</v>
      </c>
      <c r="V91" s="16" t="s">
        <v>84</v>
      </c>
      <c r="W91" s="16" t="s">
        <v>85</v>
      </c>
      <c r="X91" s="16" t="s">
        <v>488</v>
      </c>
      <c r="Y91" s="16" t="s">
        <v>489</v>
      </c>
      <c r="Z91" s="16" t="s">
        <v>89</v>
      </c>
    </row>
    <row r="92" spans="1:26" ht="57" customHeight="1">
      <c r="A92" s="16" t="s">
        <v>780</v>
      </c>
      <c r="B92" s="16" t="s">
        <v>781</v>
      </c>
      <c r="C92" s="17" t="s">
        <v>782</v>
      </c>
      <c r="D92" s="27" t="s">
        <v>1478</v>
      </c>
      <c r="E92" s="27" t="s">
        <v>366</v>
      </c>
      <c r="F92" s="16" t="s">
        <v>783</v>
      </c>
      <c r="G92" s="16">
        <v>369000000</v>
      </c>
      <c r="H92" s="16" t="s">
        <v>559</v>
      </c>
      <c r="I92" s="16" t="s">
        <v>1884</v>
      </c>
      <c r="J92" s="19">
        <v>0.36899999999999999</v>
      </c>
      <c r="K92" s="16" t="s">
        <v>716</v>
      </c>
      <c r="L92" s="20" t="s">
        <v>102</v>
      </c>
      <c r="M92" s="16" t="s">
        <v>1885</v>
      </c>
      <c r="N92" s="16" t="s">
        <v>1886</v>
      </c>
      <c r="O92" s="16" t="s">
        <v>784</v>
      </c>
      <c r="P92" s="16"/>
      <c r="Q92" s="16"/>
      <c r="R92" s="16" t="s">
        <v>1887</v>
      </c>
      <c r="S92" s="16" t="s">
        <v>253</v>
      </c>
      <c r="T92" s="16" t="s">
        <v>1484</v>
      </c>
      <c r="U92" s="16" t="s">
        <v>1888</v>
      </c>
      <c r="V92" s="16" t="s">
        <v>84</v>
      </c>
      <c r="W92" s="16" t="s">
        <v>85</v>
      </c>
      <c r="X92" s="16" t="s">
        <v>488</v>
      </c>
      <c r="Y92" s="16" t="s">
        <v>489</v>
      </c>
      <c r="Z92" s="16" t="s">
        <v>89</v>
      </c>
    </row>
    <row r="93" spans="1:26" ht="85.5" customHeight="1">
      <c r="A93" s="16" t="s">
        <v>616</v>
      </c>
      <c r="B93" s="16" t="s">
        <v>617</v>
      </c>
      <c r="C93" s="17" t="s">
        <v>618</v>
      </c>
      <c r="D93" s="29" t="s">
        <v>1486</v>
      </c>
      <c r="E93" s="29" t="s">
        <v>480</v>
      </c>
      <c r="F93" s="16" t="s">
        <v>619</v>
      </c>
      <c r="G93" s="16">
        <v>2094500000000</v>
      </c>
      <c r="H93" s="16" t="s">
        <v>620</v>
      </c>
      <c r="I93" s="16" t="s">
        <v>1889</v>
      </c>
      <c r="J93" s="19">
        <v>0.946581100013558</v>
      </c>
      <c r="K93" s="16" t="s">
        <v>536</v>
      </c>
      <c r="L93" s="18" t="s">
        <v>81</v>
      </c>
      <c r="M93" s="16" t="s">
        <v>1015</v>
      </c>
      <c r="N93" s="16" t="s">
        <v>1890</v>
      </c>
      <c r="O93" s="16" t="s">
        <v>621</v>
      </c>
      <c r="P93" s="16"/>
      <c r="Q93" s="16"/>
      <c r="R93" s="16" t="s">
        <v>1891</v>
      </c>
      <c r="S93" s="16" t="s">
        <v>253</v>
      </c>
      <c r="T93" s="16" t="s">
        <v>1484</v>
      </c>
      <c r="U93" s="17" t="s">
        <v>1892</v>
      </c>
      <c r="V93" s="16" t="s">
        <v>84</v>
      </c>
      <c r="W93" s="16" t="s">
        <v>85</v>
      </c>
      <c r="X93" s="16" t="s">
        <v>488</v>
      </c>
      <c r="Y93" s="16" t="s">
        <v>489</v>
      </c>
      <c r="Z93" s="16" t="s">
        <v>89</v>
      </c>
    </row>
  </sheetData>
  <autoFilter ref="A1:Z93" xr:uid="{00000000-0009-0000-0000-000004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/>
  </sheetViews>
  <sheetFormatPr baseColWidth="10" defaultColWidth="8.6640625" defaultRowHeight="15"/>
  <cols>
    <col min="1" max="1" width="22" customWidth="1"/>
    <col min="2" max="3" width="40" customWidth="1"/>
    <col min="4" max="4" width="70" customWidth="1"/>
  </cols>
  <sheetData>
    <row r="1" spans="1:4" ht="36" customHeight="1">
      <c r="A1" s="11" t="s">
        <v>1893</v>
      </c>
      <c r="B1" s="11" t="s">
        <v>1894</v>
      </c>
      <c r="C1" s="11" t="s">
        <v>1895</v>
      </c>
      <c r="D1" s="11" t="s">
        <v>1896</v>
      </c>
    </row>
    <row r="2" spans="1:4" ht="48" customHeight="1">
      <c r="A2" s="16" t="s">
        <v>55</v>
      </c>
      <c r="B2" s="16" t="s">
        <v>1897</v>
      </c>
      <c r="C2" s="16" t="s">
        <v>1898</v>
      </c>
      <c r="D2" s="16" t="s">
        <v>1899</v>
      </c>
    </row>
    <row r="3" spans="1:4" ht="48" customHeight="1">
      <c r="A3" s="16" t="s">
        <v>56</v>
      </c>
      <c r="B3" s="16" t="s">
        <v>1900</v>
      </c>
      <c r="C3" s="16" t="s">
        <v>1901</v>
      </c>
      <c r="D3" s="16" t="s">
        <v>1902</v>
      </c>
    </row>
    <row r="4" spans="1:4" ht="48" customHeight="1">
      <c r="A4" s="16" t="s">
        <v>57</v>
      </c>
      <c r="B4" s="16" t="s">
        <v>1903</v>
      </c>
      <c r="C4" s="16" t="s">
        <v>1904</v>
      </c>
      <c r="D4" s="16" t="s">
        <v>1905</v>
      </c>
    </row>
    <row r="5" spans="1:4" ht="48" customHeight="1">
      <c r="A5" s="16" t="s">
        <v>58</v>
      </c>
      <c r="B5" s="16" t="s">
        <v>1906</v>
      </c>
      <c r="C5" s="16" t="s">
        <v>1907</v>
      </c>
      <c r="D5" s="16" t="s">
        <v>1908</v>
      </c>
    </row>
    <row r="6" spans="1:4" ht="48" customHeight="1">
      <c r="A6" s="16" t="s">
        <v>59</v>
      </c>
      <c r="B6" s="16" t="s">
        <v>1909</v>
      </c>
      <c r="C6" s="16" t="s">
        <v>1910</v>
      </c>
      <c r="D6" s="16" t="s">
        <v>1911</v>
      </c>
    </row>
    <row r="7" spans="1:4" ht="48" customHeight="1">
      <c r="A7" s="16" t="s">
        <v>60</v>
      </c>
      <c r="B7" s="16" t="s">
        <v>1912</v>
      </c>
      <c r="C7" s="16" t="s">
        <v>1913</v>
      </c>
      <c r="D7" s="16" t="s">
        <v>1914</v>
      </c>
    </row>
    <row r="8" spans="1:4" ht="48" customHeight="1">
      <c r="A8" s="16" t="s">
        <v>61</v>
      </c>
      <c r="B8" s="16" t="s">
        <v>1915</v>
      </c>
      <c r="C8" s="16" t="s">
        <v>1916</v>
      </c>
      <c r="D8" s="16" t="s">
        <v>1917</v>
      </c>
    </row>
    <row r="9" spans="1:4" ht="48" customHeight="1">
      <c r="A9" s="16" t="s">
        <v>1918</v>
      </c>
      <c r="B9" s="16" t="s">
        <v>1919</v>
      </c>
      <c r="C9" s="16" t="s">
        <v>1920</v>
      </c>
      <c r="D9" s="16" t="s">
        <v>1921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Normal="100" workbookViewId="0"/>
  </sheetViews>
  <sheetFormatPr baseColWidth="10" defaultColWidth="8.6640625" defaultRowHeight="15"/>
  <cols>
    <col min="1" max="1" width="48" customWidth="1"/>
    <col min="2" max="2" width="10" customWidth="1"/>
    <col min="3" max="3" width="14" customWidth="1"/>
    <col min="4" max="4" width="50" customWidth="1"/>
    <col min="5" max="5" width="40" customWidth="1"/>
  </cols>
  <sheetData>
    <row r="1" spans="1:5" ht="36" customHeight="1">
      <c r="A1" s="11" t="s">
        <v>52</v>
      </c>
      <c r="B1" s="11" t="s">
        <v>1922</v>
      </c>
      <c r="C1" s="11" t="s">
        <v>1923</v>
      </c>
      <c r="D1" s="11" t="s">
        <v>51</v>
      </c>
      <c r="E1" s="11" t="s">
        <v>1924</v>
      </c>
    </row>
    <row r="2" spans="1:5" ht="14.25" customHeight="1">
      <c r="A2" s="16" t="s">
        <v>1925</v>
      </c>
      <c r="B2" s="16" t="s">
        <v>495</v>
      </c>
      <c r="C2" s="16" t="s">
        <v>1926</v>
      </c>
      <c r="D2" s="16" t="s">
        <v>1927</v>
      </c>
      <c r="E2" s="16" t="s">
        <v>1928</v>
      </c>
    </row>
    <row r="3" spans="1:5" ht="14.25" customHeight="1">
      <c r="A3" s="16" t="s">
        <v>1929</v>
      </c>
      <c r="B3" s="16" t="s">
        <v>509</v>
      </c>
      <c r="C3" s="16" t="s">
        <v>1926</v>
      </c>
      <c r="D3" s="16" t="s">
        <v>996</v>
      </c>
      <c r="E3" s="16" t="s">
        <v>1928</v>
      </c>
    </row>
    <row r="4" spans="1:5" ht="14.25" customHeight="1">
      <c r="A4" s="16" t="s">
        <v>1930</v>
      </c>
      <c r="B4" s="16" t="s">
        <v>177</v>
      </c>
      <c r="C4" s="16" t="s">
        <v>1926</v>
      </c>
      <c r="D4" s="16" t="s">
        <v>949</v>
      </c>
      <c r="E4" s="16" t="s">
        <v>1928</v>
      </c>
    </row>
    <row r="5" spans="1:5" ht="14.25" customHeight="1">
      <c r="A5" s="16" t="s">
        <v>1931</v>
      </c>
      <c r="B5" s="16" t="s">
        <v>296</v>
      </c>
      <c r="C5" s="16" t="s">
        <v>1926</v>
      </c>
      <c r="D5" s="16" t="s">
        <v>966</v>
      </c>
      <c r="E5" s="16" t="s">
        <v>1928</v>
      </c>
    </row>
    <row r="6" spans="1:5" ht="14.25" customHeight="1">
      <c r="A6" s="16" t="s">
        <v>1932</v>
      </c>
      <c r="B6" s="16" t="s">
        <v>447</v>
      </c>
      <c r="C6" s="16" t="s">
        <v>1926</v>
      </c>
      <c r="D6" s="16" t="s">
        <v>1933</v>
      </c>
      <c r="E6" s="16" t="s">
        <v>1928</v>
      </c>
    </row>
    <row r="7" spans="1:5" ht="14.25" customHeight="1">
      <c r="A7" s="16" t="s">
        <v>1934</v>
      </c>
      <c r="B7" s="16" t="s">
        <v>282</v>
      </c>
      <c r="C7" s="16" t="s">
        <v>1926</v>
      </c>
      <c r="D7" s="16" t="s">
        <v>1935</v>
      </c>
      <c r="E7" s="16" t="s">
        <v>1928</v>
      </c>
    </row>
    <row r="8" spans="1:5" ht="14.25" customHeight="1">
      <c r="A8" s="16" t="s">
        <v>1936</v>
      </c>
      <c r="B8" s="16" t="s">
        <v>585</v>
      </c>
      <c r="C8" s="16" t="s">
        <v>1926</v>
      </c>
      <c r="D8" s="16" t="s">
        <v>1937</v>
      </c>
      <c r="E8" s="16" t="s">
        <v>1928</v>
      </c>
    </row>
    <row r="9" spans="1:5" ht="14.25" customHeight="1">
      <c r="A9" s="16" t="s">
        <v>1938</v>
      </c>
      <c r="B9" s="16" t="s">
        <v>815</v>
      </c>
      <c r="C9" s="16" t="s">
        <v>1939</v>
      </c>
      <c r="D9" s="16" t="s">
        <v>1940</v>
      </c>
      <c r="E9" s="16" t="s">
        <v>1941</v>
      </c>
    </row>
    <row r="10" spans="1:5" ht="14.25" customHeight="1">
      <c r="A10" s="16" t="s">
        <v>1942</v>
      </c>
      <c r="B10" s="16" t="s">
        <v>803</v>
      </c>
      <c r="C10" s="16" t="s">
        <v>1943</v>
      </c>
      <c r="D10" s="16" t="s">
        <v>1944</v>
      </c>
      <c r="E10" s="16" t="s">
        <v>1945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/>
  </sheetViews>
  <sheetFormatPr baseColWidth="10" defaultColWidth="8.6640625" defaultRowHeight="15"/>
  <cols>
    <col min="1" max="1" width="28" customWidth="1"/>
    <col min="2" max="2" width="100" customWidth="1"/>
  </cols>
  <sheetData>
    <row r="1" spans="1:2" ht="36" customHeight="1">
      <c r="A1" s="11" t="s">
        <v>1946</v>
      </c>
      <c r="B1" s="11" t="s">
        <v>1947</v>
      </c>
    </row>
    <row r="2" spans="1:2" ht="36" customHeight="1">
      <c r="A2" s="16" t="s">
        <v>1948</v>
      </c>
      <c r="B2" s="16" t="s">
        <v>253</v>
      </c>
    </row>
    <row r="3" spans="1:2" ht="36" customHeight="1">
      <c r="A3" s="16" t="s">
        <v>1949</v>
      </c>
      <c r="B3" s="16" t="s">
        <v>1950</v>
      </c>
    </row>
    <row r="4" spans="1:2" ht="36" customHeight="1">
      <c r="A4" s="16" t="s">
        <v>1951</v>
      </c>
      <c r="B4" s="16" t="s">
        <v>1952</v>
      </c>
    </row>
    <row r="5" spans="1:2" ht="36" customHeight="1">
      <c r="A5" s="16" t="s">
        <v>1953</v>
      </c>
      <c r="B5" s="16" t="s">
        <v>1954</v>
      </c>
    </row>
    <row r="6" spans="1:2" ht="36" customHeight="1">
      <c r="A6" s="16" t="s">
        <v>1955</v>
      </c>
      <c r="B6" s="16" t="s">
        <v>1956</v>
      </c>
    </row>
    <row r="7" spans="1:2" ht="36" customHeight="1">
      <c r="A7" s="16" t="s">
        <v>1957</v>
      </c>
      <c r="B7" s="16" t="s">
        <v>1958</v>
      </c>
    </row>
    <row r="8" spans="1:2" ht="36" customHeight="1">
      <c r="A8" s="16" t="s">
        <v>1959</v>
      </c>
      <c r="B8" s="16" t="s">
        <v>1960</v>
      </c>
    </row>
    <row r="9" spans="1:2" ht="36" customHeight="1">
      <c r="A9" s="16" t="s">
        <v>1961</v>
      </c>
      <c r="B9" s="16" t="s">
        <v>1962</v>
      </c>
    </row>
    <row r="10" spans="1:2" ht="36" customHeight="1">
      <c r="A10" s="16" t="s">
        <v>1963</v>
      </c>
      <c r="B10" s="16" t="s">
        <v>1964</v>
      </c>
    </row>
    <row r="11" spans="1:2" ht="36" customHeight="1">
      <c r="A11" s="16" t="s">
        <v>1965</v>
      </c>
      <c r="B11" s="16" t="s">
        <v>1966</v>
      </c>
    </row>
    <row r="12" spans="1:2" ht="36" customHeight="1">
      <c r="A12" s="16" t="s">
        <v>1967</v>
      </c>
      <c r="B12" s="16" t="s">
        <v>1968</v>
      </c>
    </row>
    <row r="13" spans="1:2" ht="14.2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zoomScaleNormal="100" workbookViewId="0"/>
  </sheetViews>
  <sheetFormatPr baseColWidth="10" defaultColWidth="8.6640625" defaultRowHeight="15"/>
  <cols>
    <col min="1" max="1" width="50" customWidth="1"/>
    <col min="2" max="2" width="10" customWidth="1"/>
    <col min="3" max="3" width="50" customWidth="1"/>
  </cols>
  <sheetData>
    <row r="1" spans="1:3" ht="36" customHeight="1">
      <c r="A1" s="11" t="s">
        <v>1969</v>
      </c>
      <c r="B1" s="11" t="s">
        <v>1970</v>
      </c>
      <c r="C1" s="11" t="s">
        <v>1971</v>
      </c>
    </row>
    <row r="2" spans="1:3" ht="16.5" customHeight="1">
      <c r="A2" s="17" t="s">
        <v>1972</v>
      </c>
      <c r="B2" s="18" t="s">
        <v>1484</v>
      </c>
      <c r="C2" s="16" t="s">
        <v>1973</v>
      </c>
    </row>
    <row r="3" spans="1:3" ht="16.5" customHeight="1">
      <c r="A3" s="17" t="s">
        <v>1974</v>
      </c>
      <c r="B3" s="18" t="s">
        <v>1484</v>
      </c>
      <c r="C3" s="16" t="s">
        <v>1975</v>
      </c>
    </row>
    <row r="4" spans="1:3" ht="16.5" customHeight="1">
      <c r="A4" s="16" t="s">
        <v>1976</v>
      </c>
      <c r="B4" s="18" t="s">
        <v>1484</v>
      </c>
      <c r="C4" s="16" t="s">
        <v>1977</v>
      </c>
    </row>
    <row r="5" spans="1:3" ht="16.5" customHeight="1">
      <c r="A5" s="16" t="s">
        <v>1978</v>
      </c>
      <c r="B5" s="18" t="s">
        <v>1484</v>
      </c>
      <c r="C5" s="16" t="s">
        <v>1979</v>
      </c>
    </row>
    <row r="6" spans="1:3" ht="16.5" customHeight="1">
      <c r="A6" s="16" t="s">
        <v>1980</v>
      </c>
      <c r="B6" s="18" t="s">
        <v>1484</v>
      </c>
      <c r="C6" s="16" t="s">
        <v>795</v>
      </c>
    </row>
    <row r="7" spans="1:3" ht="16.5" customHeight="1">
      <c r="A7" s="17" t="s">
        <v>1981</v>
      </c>
      <c r="B7" s="18" t="s">
        <v>1484</v>
      </c>
      <c r="C7" s="16" t="s">
        <v>1982</v>
      </c>
    </row>
    <row r="8" spans="1:3" ht="16.5" customHeight="1">
      <c r="A8" s="17" t="s">
        <v>1983</v>
      </c>
      <c r="B8" s="18" t="s">
        <v>1484</v>
      </c>
      <c r="C8" s="16" t="s">
        <v>1984</v>
      </c>
    </row>
    <row r="9" spans="1:3" ht="16.5" customHeight="1">
      <c r="A9" s="17" t="s">
        <v>1985</v>
      </c>
      <c r="B9" s="18" t="s">
        <v>1484</v>
      </c>
      <c r="C9" s="16" t="s">
        <v>1986</v>
      </c>
    </row>
    <row r="10" spans="1:3" ht="16.5" customHeight="1">
      <c r="A10" s="16" t="s">
        <v>1987</v>
      </c>
      <c r="B10" s="18" t="s">
        <v>1484</v>
      </c>
      <c r="C10" s="16" t="s">
        <v>1988</v>
      </c>
    </row>
    <row r="11" spans="1:3" ht="16.5" customHeight="1">
      <c r="A11" s="17" t="s">
        <v>1989</v>
      </c>
      <c r="B11" s="18" t="s">
        <v>1484</v>
      </c>
      <c r="C11" s="16" t="s">
        <v>1990</v>
      </c>
    </row>
    <row r="12" spans="1:3" ht="30" customHeight="1">
      <c r="A12" s="17" t="s">
        <v>1991</v>
      </c>
      <c r="B12" s="18" t="s">
        <v>1484</v>
      </c>
      <c r="C12" s="16" t="s">
        <v>1992</v>
      </c>
    </row>
    <row r="13" spans="1:3" ht="16.5" customHeight="1">
      <c r="A13" s="17" t="s">
        <v>1993</v>
      </c>
      <c r="B13" s="18" t="s">
        <v>1484</v>
      </c>
      <c r="C13" s="16" t="s">
        <v>1994</v>
      </c>
    </row>
    <row r="14" spans="1:3" ht="14.25" customHeight="1">
      <c r="A14" t="s">
        <v>1995</v>
      </c>
      <c r="B14" t="s">
        <v>1996</v>
      </c>
      <c r="C14" t="s">
        <v>1997</v>
      </c>
    </row>
    <row r="15" spans="1:3" ht="14.25" customHeight="1">
      <c r="A15" t="s">
        <v>1998</v>
      </c>
      <c r="B15" t="s">
        <v>1996</v>
      </c>
      <c r="C15" t="s">
        <v>1999</v>
      </c>
    </row>
    <row r="16" spans="1:3" ht="14.25" customHeight="1">
      <c r="A16" t="s">
        <v>2000</v>
      </c>
      <c r="B16" t="s">
        <v>1996</v>
      </c>
      <c r="C16" t="s">
        <v>2001</v>
      </c>
    </row>
    <row r="17" spans="1:3" ht="14.25" customHeight="1">
      <c r="A17" t="s">
        <v>2002</v>
      </c>
      <c r="B17" t="s">
        <v>1996</v>
      </c>
      <c r="C17" t="s">
        <v>2003</v>
      </c>
    </row>
    <row r="18" spans="1:3" ht="14.25" customHeight="1">
      <c r="A18" t="s">
        <v>2004</v>
      </c>
      <c r="B18" t="s">
        <v>1996</v>
      </c>
      <c r="C18" t="s">
        <v>2005</v>
      </c>
    </row>
    <row r="19" spans="1:3" ht="14.25" customHeight="1">
      <c r="A19" t="s">
        <v>2006</v>
      </c>
      <c r="B19" t="s">
        <v>2007</v>
      </c>
      <c r="C19" t="s">
        <v>2008</v>
      </c>
    </row>
    <row r="20" spans="1:3" ht="14.25" customHeight="1">
      <c r="A20" t="s">
        <v>2009</v>
      </c>
      <c r="B20" t="s">
        <v>1996</v>
      </c>
      <c r="C20" t="s">
        <v>2010</v>
      </c>
    </row>
    <row r="21" spans="1:3">
      <c r="A21" t="s">
        <v>2011</v>
      </c>
      <c r="B21" t="s">
        <v>1996</v>
      </c>
      <c r="C21" t="s">
        <v>2012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topLeftCell="A33" zoomScaleNormal="100" workbookViewId="0">
      <selection activeCell="F34" sqref="F34"/>
    </sheetView>
  </sheetViews>
  <sheetFormatPr baseColWidth="10" defaultColWidth="8.6640625" defaultRowHeight="15"/>
  <cols>
    <col min="1" max="1" width="4" customWidth="1"/>
    <col min="2" max="2" width="11" customWidth="1"/>
    <col min="3" max="3" width="26" customWidth="1"/>
    <col min="4" max="4" width="18" customWidth="1"/>
    <col min="5" max="5" width="14" customWidth="1"/>
    <col min="6" max="6" width="22" customWidth="1"/>
    <col min="7" max="8" width="16" customWidth="1"/>
    <col min="9" max="9" width="80" customWidth="1"/>
    <col min="10" max="10" width="60" customWidth="1"/>
  </cols>
  <sheetData>
    <row r="1" spans="1:10" ht="15" customHeight="1">
      <c r="A1" s="12" t="s">
        <v>2013</v>
      </c>
      <c r="B1" s="12" t="s">
        <v>2014</v>
      </c>
      <c r="C1" s="12" t="s">
        <v>2015</v>
      </c>
      <c r="D1" s="12" t="s">
        <v>2016</v>
      </c>
      <c r="E1" s="12" t="s">
        <v>1922</v>
      </c>
      <c r="F1" s="12" t="s">
        <v>2017</v>
      </c>
      <c r="G1" s="12" t="s">
        <v>2018</v>
      </c>
      <c r="H1" s="12" t="s">
        <v>2019</v>
      </c>
      <c r="I1" s="12" t="s">
        <v>2020</v>
      </c>
      <c r="J1" s="12" t="s">
        <v>51</v>
      </c>
    </row>
    <row r="2" spans="1:10" ht="27.75" customHeight="1">
      <c r="A2" s="1">
        <v>1</v>
      </c>
      <c r="B2" s="1" t="s">
        <v>2021</v>
      </c>
      <c r="C2" s="1" t="s">
        <v>2022</v>
      </c>
      <c r="D2" s="1" t="s">
        <v>2023</v>
      </c>
      <c r="E2" s="1" t="s">
        <v>617</v>
      </c>
      <c r="F2" s="1" t="s">
        <v>48</v>
      </c>
      <c r="G2" s="1">
        <v>8.3780000000000001</v>
      </c>
      <c r="H2" s="1">
        <v>0.94662651959999999</v>
      </c>
      <c r="I2" s="30" t="s">
        <v>2024</v>
      </c>
      <c r="J2" s="30" t="s">
        <v>2025</v>
      </c>
    </row>
    <row r="3" spans="1:10" ht="27.75" customHeight="1">
      <c r="A3" s="1">
        <v>2</v>
      </c>
      <c r="B3" s="1" t="s">
        <v>2021</v>
      </c>
      <c r="C3" s="1" t="s">
        <v>2022</v>
      </c>
      <c r="D3" s="1" t="s">
        <v>2026</v>
      </c>
      <c r="E3" s="1" t="s">
        <v>918</v>
      </c>
      <c r="F3" s="1" t="s">
        <v>48</v>
      </c>
      <c r="G3" s="1">
        <v>149.86666666670001</v>
      </c>
      <c r="H3" s="1">
        <v>173.99380804949999</v>
      </c>
      <c r="I3" s="30" t="s">
        <v>2027</v>
      </c>
      <c r="J3" s="30" t="s">
        <v>2028</v>
      </c>
    </row>
    <row r="4" spans="1:10" ht="27.75" customHeight="1">
      <c r="A4" s="1">
        <v>3</v>
      </c>
      <c r="B4" s="1" t="s">
        <v>2021</v>
      </c>
      <c r="C4" s="1" t="s">
        <v>2022</v>
      </c>
      <c r="D4" s="1" t="s">
        <v>2029</v>
      </c>
      <c r="E4" s="1" t="s">
        <v>606</v>
      </c>
      <c r="F4" s="1" t="s">
        <v>48</v>
      </c>
      <c r="G4" s="1">
        <v>60.176049999999996</v>
      </c>
      <c r="H4" s="1">
        <v>53.264925868500001</v>
      </c>
      <c r="I4" s="30" t="s">
        <v>2030</v>
      </c>
      <c r="J4" s="30" t="s">
        <v>2031</v>
      </c>
    </row>
    <row r="5" spans="1:10" ht="27.75" customHeight="1">
      <c r="A5" s="1">
        <v>4</v>
      </c>
      <c r="B5" s="1" t="s">
        <v>2021</v>
      </c>
      <c r="C5" s="1" t="s">
        <v>2022</v>
      </c>
      <c r="D5" s="1" t="s">
        <v>2032</v>
      </c>
      <c r="E5" s="1" t="s">
        <v>374</v>
      </c>
      <c r="F5" s="1" t="s">
        <v>48</v>
      </c>
      <c r="G5" s="1">
        <v>2.3944954128</v>
      </c>
      <c r="H5" s="1">
        <v>2.8369565216999999</v>
      </c>
      <c r="I5" s="30" t="s">
        <v>2033</v>
      </c>
      <c r="J5" s="30" t="s">
        <v>2034</v>
      </c>
    </row>
    <row r="6" spans="1:10" ht="68.25" customHeight="1">
      <c r="A6" s="1">
        <v>5</v>
      </c>
      <c r="B6" s="1" t="s">
        <v>2021</v>
      </c>
      <c r="C6" s="1" t="s">
        <v>2022</v>
      </c>
      <c r="D6" s="1" t="s">
        <v>2035</v>
      </c>
      <c r="E6" s="1" t="s">
        <v>478</v>
      </c>
      <c r="F6" s="1" t="s">
        <v>48</v>
      </c>
      <c r="G6" s="1">
        <v>3.5641666666999998</v>
      </c>
      <c r="H6" s="1">
        <v>3.0726727661000002</v>
      </c>
      <c r="I6" s="30" t="s">
        <v>2036</v>
      </c>
      <c r="J6" s="30" t="s">
        <v>2037</v>
      </c>
    </row>
    <row r="7" spans="1:10" ht="41.25" customHeight="1">
      <c r="A7" s="1">
        <v>6</v>
      </c>
      <c r="B7" s="1" t="s">
        <v>2021</v>
      </c>
      <c r="C7" s="1" t="s">
        <v>2022</v>
      </c>
      <c r="D7" s="1" t="s">
        <v>2038</v>
      </c>
      <c r="E7" s="1" t="s">
        <v>804</v>
      </c>
      <c r="F7" s="1" t="s">
        <v>63</v>
      </c>
      <c r="G7" s="1">
        <v>12</v>
      </c>
      <c r="H7" s="1">
        <v>10</v>
      </c>
      <c r="I7" s="30" t="s">
        <v>2039</v>
      </c>
      <c r="J7" s="30" t="s">
        <v>813</v>
      </c>
    </row>
    <row r="8" spans="1:10" ht="27.75" customHeight="1">
      <c r="A8" s="1">
        <v>7</v>
      </c>
      <c r="B8" s="1" t="s">
        <v>2021</v>
      </c>
      <c r="C8" s="1" t="s">
        <v>2022</v>
      </c>
      <c r="D8" s="1" t="s">
        <v>2040</v>
      </c>
      <c r="E8" s="1" t="s">
        <v>522</v>
      </c>
      <c r="F8" s="1" t="s">
        <v>65</v>
      </c>
      <c r="G8" s="1" t="s">
        <v>157</v>
      </c>
      <c r="H8" s="1" t="s">
        <v>529</v>
      </c>
      <c r="I8" s="30" t="s">
        <v>2041</v>
      </c>
      <c r="J8" s="30" t="s">
        <v>530</v>
      </c>
    </row>
    <row r="9" spans="1:10" ht="15" customHeight="1">
      <c r="A9" s="1">
        <v>8</v>
      </c>
      <c r="B9" s="1" t="s">
        <v>2021</v>
      </c>
      <c r="C9" s="1" t="s">
        <v>2042</v>
      </c>
      <c r="D9" s="1" t="s">
        <v>2043</v>
      </c>
      <c r="E9" s="1" t="s">
        <v>2044</v>
      </c>
      <c r="F9" s="1" t="s">
        <v>1473</v>
      </c>
      <c r="G9" s="1" t="s">
        <v>2045</v>
      </c>
      <c r="H9" s="1" t="s">
        <v>2046</v>
      </c>
      <c r="I9" s="30" t="s">
        <v>2047</v>
      </c>
      <c r="J9" s="30" t="s">
        <v>2048</v>
      </c>
    </row>
    <row r="10" spans="1:10" ht="15" customHeight="1">
      <c r="A10" s="1">
        <v>9</v>
      </c>
      <c r="B10" s="1" t="s">
        <v>2021</v>
      </c>
      <c r="C10" s="1" t="s">
        <v>2049</v>
      </c>
      <c r="D10" s="1" t="s">
        <v>2050</v>
      </c>
      <c r="E10" s="1" t="s">
        <v>2051</v>
      </c>
      <c r="F10" s="1" t="s">
        <v>2052</v>
      </c>
      <c r="G10" s="1" t="s">
        <v>2053</v>
      </c>
      <c r="H10" s="1" t="s">
        <v>2054</v>
      </c>
      <c r="I10" s="30" t="s">
        <v>2055</v>
      </c>
      <c r="J10" s="30" t="s">
        <v>2056</v>
      </c>
    </row>
    <row r="11" spans="1:10" ht="68.25" customHeight="1">
      <c r="A11" s="1">
        <v>10</v>
      </c>
      <c r="B11" s="1" t="s">
        <v>2057</v>
      </c>
      <c r="C11" s="1" t="s">
        <v>2022</v>
      </c>
      <c r="D11" s="1" t="s">
        <v>2058</v>
      </c>
      <c r="E11" s="1" t="s">
        <v>309</v>
      </c>
      <c r="F11" s="1" t="s">
        <v>63</v>
      </c>
      <c r="G11" s="1">
        <v>829</v>
      </c>
      <c r="H11" s="1">
        <v>785</v>
      </c>
      <c r="I11" s="30" t="s">
        <v>2059</v>
      </c>
      <c r="J11" s="30" t="s">
        <v>2060</v>
      </c>
    </row>
    <row r="12" spans="1:10" ht="41.25" customHeight="1">
      <c r="A12" s="31">
        <v>11</v>
      </c>
      <c r="B12" s="1" t="s">
        <v>2057</v>
      </c>
      <c r="C12" s="1" t="s">
        <v>2022</v>
      </c>
      <c r="D12" s="1" t="s">
        <v>2061</v>
      </c>
      <c r="E12" s="1" t="s">
        <v>437</v>
      </c>
      <c r="F12" s="1" t="s">
        <v>63</v>
      </c>
      <c r="G12" s="1">
        <v>28</v>
      </c>
      <c r="H12" s="1">
        <v>48</v>
      </c>
      <c r="I12" s="30" t="s">
        <v>2062</v>
      </c>
      <c r="J12" s="30" t="s">
        <v>2063</v>
      </c>
    </row>
    <row r="13" spans="1:10" ht="45" customHeight="1">
      <c r="A13" s="1">
        <v>12</v>
      </c>
      <c r="B13" s="1" t="s">
        <v>2057</v>
      </c>
      <c r="C13" s="1" t="s">
        <v>2022</v>
      </c>
      <c r="D13" s="1" t="s">
        <v>2064</v>
      </c>
      <c r="E13" s="1" t="s">
        <v>791</v>
      </c>
      <c r="F13" s="1" t="s">
        <v>63</v>
      </c>
      <c r="G13" s="1">
        <v>13000</v>
      </c>
      <c r="H13" s="1">
        <v>5346</v>
      </c>
      <c r="I13" s="30" t="s">
        <v>2065</v>
      </c>
      <c r="J13" s="30" t="s">
        <v>2066</v>
      </c>
    </row>
    <row r="14" spans="1:10" ht="27.75" customHeight="1">
      <c r="A14" s="1">
        <v>13</v>
      </c>
      <c r="B14" s="1" t="s">
        <v>2057</v>
      </c>
      <c r="C14" s="1" t="s">
        <v>2022</v>
      </c>
      <c r="D14" s="1" t="s">
        <v>2067</v>
      </c>
      <c r="E14" s="1" t="s">
        <v>763</v>
      </c>
      <c r="F14" s="1" t="s">
        <v>46</v>
      </c>
      <c r="G14" s="1">
        <v>663000000000</v>
      </c>
      <c r="H14" s="1">
        <v>769477025679.52002</v>
      </c>
      <c r="I14" s="30" t="s">
        <v>2068</v>
      </c>
      <c r="J14" s="30" t="s">
        <v>767</v>
      </c>
    </row>
    <row r="15" spans="1:10" ht="15" customHeight="1">
      <c r="A15" s="1">
        <v>14</v>
      </c>
      <c r="B15" s="1" t="s">
        <v>2057</v>
      </c>
      <c r="C15" s="1" t="s">
        <v>2022</v>
      </c>
      <c r="D15" s="1" t="s">
        <v>2069</v>
      </c>
      <c r="E15" s="1" t="s">
        <v>763</v>
      </c>
      <c r="F15" s="1" t="s">
        <v>48</v>
      </c>
      <c r="G15" s="1">
        <v>0.14733333330000001</v>
      </c>
      <c r="H15" s="1">
        <v>0.1709948946</v>
      </c>
      <c r="I15" s="30" t="s">
        <v>2070</v>
      </c>
      <c r="J15" s="30" t="s">
        <v>767</v>
      </c>
    </row>
    <row r="16" spans="1:10" ht="15" customHeight="1">
      <c r="A16" s="1">
        <v>15</v>
      </c>
      <c r="B16" s="1" t="s">
        <v>2057</v>
      </c>
      <c r="C16" s="1" t="s">
        <v>2071</v>
      </c>
      <c r="D16" s="1" t="s">
        <v>2072</v>
      </c>
      <c r="E16" s="1" t="s">
        <v>2073</v>
      </c>
      <c r="F16" s="1" t="s">
        <v>2074</v>
      </c>
      <c r="G16" s="1" t="s">
        <v>2075</v>
      </c>
      <c r="H16" s="1" t="s">
        <v>2076</v>
      </c>
      <c r="I16" s="30" t="s">
        <v>2077</v>
      </c>
      <c r="J16" s="30" t="s">
        <v>2078</v>
      </c>
    </row>
    <row r="17" spans="1:10" ht="54.75" customHeight="1">
      <c r="A17" s="1">
        <v>16</v>
      </c>
      <c r="B17" s="1" t="s">
        <v>2057</v>
      </c>
      <c r="C17" s="1" t="s">
        <v>2079</v>
      </c>
      <c r="D17" s="1" t="s">
        <v>2080</v>
      </c>
      <c r="E17" s="1" t="s">
        <v>2081</v>
      </c>
      <c r="F17" s="1" t="s">
        <v>2073</v>
      </c>
      <c r="G17" s="1" t="s">
        <v>2073</v>
      </c>
      <c r="H17" s="1" t="s">
        <v>2073</v>
      </c>
      <c r="I17" s="30" t="s">
        <v>2082</v>
      </c>
      <c r="J17" s="30" t="s">
        <v>2083</v>
      </c>
    </row>
    <row r="18" spans="1:10" ht="54.75" customHeight="1">
      <c r="A18" s="1">
        <v>17</v>
      </c>
      <c r="B18" s="1" t="s">
        <v>2057</v>
      </c>
      <c r="C18" s="1" t="s">
        <v>2022</v>
      </c>
      <c r="D18" s="1" t="s">
        <v>2084</v>
      </c>
      <c r="E18" s="1" t="s">
        <v>2085</v>
      </c>
      <c r="F18" s="1" t="s">
        <v>69</v>
      </c>
      <c r="G18" s="1" t="s">
        <v>2073</v>
      </c>
      <c r="H18" s="1" t="s">
        <v>2086</v>
      </c>
      <c r="I18" s="30" t="s">
        <v>2087</v>
      </c>
      <c r="J18" s="30" t="s">
        <v>2088</v>
      </c>
    </row>
    <row r="19" spans="1:10" ht="27.75" customHeight="1">
      <c r="A19" s="1">
        <v>18</v>
      </c>
      <c r="B19" s="1" t="s">
        <v>2021</v>
      </c>
      <c r="C19" s="1" t="s">
        <v>2022</v>
      </c>
      <c r="D19" s="1" t="s">
        <v>2089</v>
      </c>
      <c r="E19" s="1" t="s">
        <v>383</v>
      </c>
      <c r="F19" s="1" t="s">
        <v>2090</v>
      </c>
      <c r="G19" s="1" t="s">
        <v>2073</v>
      </c>
      <c r="H19" s="1" t="s">
        <v>2091</v>
      </c>
      <c r="I19" s="30" t="s">
        <v>2092</v>
      </c>
      <c r="J19" s="30" t="s">
        <v>2093</v>
      </c>
    </row>
    <row r="20" spans="1:10" ht="45" customHeight="1">
      <c r="A20" s="41">
        <v>19</v>
      </c>
      <c r="B20" s="41"/>
      <c r="C20" s="41"/>
      <c r="D20" s="41"/>
      <c r="E20" s="41"/>
      <c r="F20" s="41"/>
      <c r="G20" s="41"/>
      <c r="H20" s="41"/>
      <c r="I20" s="41"/>
      <c r="J20" s="30" t="s">
        <v>739</v>
      </c>
    </row>
    <row r="21" spans="1:10" ht="54.75" customHeight="1">
      <c r="A21" s="1">
        <v>20</v>
      </c>
      <c r="B21" s="1" t="s">
        <v>2021</v>
      </c>
      <c r="C21" s="1" t="s">
        <v>2022</v>
      </c>
      <c r="D21" s="1" t="s">
        <v>2094</v>
      </c>
      <c r="E21" s="1" t="s">
        <v>35</v>
      </c>
      <c r="F21" s="1" t="s">
        <v>2095</v>
      </c>
      <c r="G21" s="1" t="s">
        <v>2096</v>
      </c>
      <c r="H21" s="1" t="s">
        <v>2097</v>
      </c>
      <c r="I21" s="30" t="s">
        <v>2098</v>
      </c>
      <c r="J21" s="30" t="s">
        <v>2099</v>
      </c>
    </row>
    <row r="22" spans="1:10" ht="41.25" customHeight="1">
      <c r="A22" s="1">
        <v>21</v>
      </c>
      <c r="B22" s="1" t="s">
        <v>2021</v>
      </c>
      <c r="C22" s="1" t="s">
        <v>2022</v>
      </c>
      <c r="D22" s="1" t="s">
        <v>2100</v>
      </c>
      <c r="E22" s="1" t="s">
        <v>2101</v>
      </c>
      <c r="F22" s="1" t="s">
        <v>2095</v>
      </c>
      <c r="G22" s="1" t="s">
        <v>2102</v>
      </c>
      <c r="H22" s="1" t="s">
        <v>2103</v>
      </c>
      <c r="I22" s="30" t="s">
        <v>2104</v>
      </c>
      <c r="J22" s="30" t="s">
        <v>2105</v>
      </c>
    </row>
    <row r="23" spans="1:10" ht="41.25" customHeight="1">
      <c r="A23" s="1">
        <v>22</v>
      </c>
      <c r="B23" s="1" t="s">
        <v>2021</v>
      </c>
      <c r="C23" s="1" t="s">
        <v>2022</v>
      </c>
      <c r="D23" s="1" t="s">
        <v>2106</v>
      </c>
      <c r="E23" s="1" t="s">
        <v>37</v>
      </c>
      <c r="F23" s="1" t="s">
        <v>2095</v>
      </c>
      <c r="G23" s="1" t="s">
        <v>2107</v>
      </c>
      <c r="H23" s="1" t="s">
        <v>2108</v>
      </c>
      <c r="I23" s="30" t="s">
        <v>2109</v>
      </c>
      <c r="J23" s="30" t="s">
        <v>2110</v>
      </c>
    </row>
    <row r="24" spans="1:10" ht="54.75" customHeight="1">
      <c r="A24" s="1">
        <v>23</v>
      </c>
      <c r="B24" s="1" t="s">
        <v>2021</v>
      </c>
      <c r="C24" s="1" t="s">
        <v>2022</v>
      </c>
      <c r="D24" s="1" t="s">
        <v>2111</v>
      </c>
      <c r="E24" s="1" t="s">
        <v>36</v>
      </c>
      <c r="F24" s="1" t="s">
        <v>2095</v>
      </c>
      <c r="G24" s="1" t="s">
        <v>2112</v>
      </c>
      <c r="H24" s="1" t="s">
        <v>2113</v>
      </c>
      <c r="I24" s="30" t="s">
        <v>2114</v>
      </c>
      <c r="J24" s="30" t="s">
        <v>2115</v>
      </c>
    </row>
    <row r="25" spans="1:10" ht="41.25" customHeight="1">
      <c r="A25" s="1">
        <v>24</v>
      </c>
      <c r="B25" s="1" t="s">
        <v>2021</v>
      </c>
      <c r="C25" s="1" t="s">
        <v>2022</v>
      </c>
      <c r="D25" s="1" t="s">
        <v>2116</v>
      </c>
      <c r="E25" s="1" t="s">
        <v>598</v>
      </c>
      <c r="F25" s="1" t="s">
        <v>2095</v>
      </c>
      <c r="G25" s="1" t="s">
        <v>2117</v>
      </c>
      <c r="H25" s="1" t="s">
        <v>2118</v>
      </c>
      <c r="I25" s="30" t="s">
        <v>2119</v>
      </c>
      <c r="J25" s="30" t="s">
        <v>2120</v>
      </c>
    </row>
    <row r="26" spans="1:10" ht="41.25" customHeight="1">
      <c r="A26" s="1">
        <v>25</v>
      </c>
      <c r="B26" s="1" t="s">
        <v>2021</v>
      </c>
      <c r="C26" s="1" t="s">
        <v>2022</v>
      </c>
      <c r="D26" s="1" t="s">
        <v>2121</v>
      </c>
      <c r="E26" s="1" t="s">
        <v>522</v>
      </c>
      <c r="F26" s="1" t="s">
        <v>2095</v>
      </c>
      <c r="G26" s="1" t="s">
        <v>2122</v>
      </c>
      <c r="H26" s="1" t="s">
        <v>2123</v>
      </c>
      <c r="I26" s="30" t="s">
        <v>2124</v>
      </c>
      <c r="J26" s="30" t="s">
        <v>2125</v>
      </c>
    </row>
    <row r="27" spans="1:10" ht="81.75" customHeight="1">
      <c r="A27" s="1">
        <v>26</v>
      </c>
      <c r="B27" s="1" t="s">
        <v>2021</v>
      </c>
      <c r="C27" s="1" t="s">
        <v>2126</v>
      </c>
      <c r="D27" s="1" t="s">
        <v>2127</v>
      </c>
      <c r="E27" s="1" t="s">
        <v>2128</v>
      </c>
      <c r="F27" s="1" t="s">
        <v>2073</v>
      </c>
      <c r="G27" s="1" t="s">
        <v>2073</v>
      </c>
      <c r="H27" s="1" t="s">
        <v>2073</v>
      </c>
      <c r="I27" s="30" t="s">
        <v>2129</v>
      </c>
      <c r="J27" s="30" t="s">
        <v>2130</v>
      </c>
    </row>
    <row r="28" spans="1:10" ht="68.25" customHeight="1">
      <c r="A28" s="1">
        <v>27</v>
      </c>
      <c r="B28" s="1" t="s">
        <v>2021</v>
      </c>
      <c r="C28" s="1" t="s">
        <v>2022</v>
      </c>
      <c r="D28" s="1" t="s">
        <v>2131</v>
      </c>
      <c r="E28" s="1" t="s">
        <v>2132</v>
      </c>
      <c r="F28" s="1" t="s">
        <v>2133</v>
      </c>
      <c r="G28" s="1" t="s">
        <v>2134</v>
      </c>
      <c r="H28" s="1" t="s">
        <v>2135</v>
      </c>
      <c r="I28" s="30" t="s">
        <v>2136</v>
      </c>
      <c r="J28" s="30" t="s">
        <v>2137</v>
      </c>
    </row>
    <row r="29" spans="1:10" ht="54.75" customHeight="1">
      <c r="A29" s="1">
        <v>28</v>
      </c>
      <c r="B29" s="1" t="s">
        <v>2021</v>
      </c>
      <c r="C29" s="1" t="s">
        <v>2022</v>
      </c>
      <c r="D29" s="1" t="s">
        <v>2094</v>
      </c>
      <c r="E29" s="1" t="s">
        <v>35</v>
      </c>
      <c r="F29" s="1" t="s">
        <v>2138</v>
      </c>
      <c r="G29" s="1" t="s">
        <v>2097</v>
      </c>
      <c r="H29" s="1" t="s">
        <v>2139</v>
      </c>
      <c r="I29" s="30" t="s">
        <v>2140</v>
      </c>
      <c r="J29" s="30" t="s">
        <v>1696</v>
      </c>
    </row>
    <row r="30" spans="1:10" ht="95.25" customHeight="1">
      <c r="A30" s="1">
        <v>29</v>
      </c>
      <c r="B30" s="1" t="s">
        <v>2021</v>
      </c>
      <c r="C30" s="1" t="s">
        <v>2022</v>
      </c>
      <c r="D30" s="1" t="s">
        <v>2141</v>
      </c>
      <c r="E30" s="1" t="s">
        <v>35</v>
      </c>
      <c r="F30" s="1" t="s">
        <v>2142</v>
      </c>
      <c r="G30" s="1" t="s">
        <v>2096</v>
      </c>
      <c r="H30" s="1" t="s">
        <v>2143</v>
      </c>
      <c r="I30" s="30" t="s">
        <v>2144</v>
      </c>
      <c r="J30" s="30" t="s">
        <v>2145</v>
      </c>
    </row>
    <row r="31" spans="1:10" ht="41.25" customHeight="1">
      <c r="A31" s="1">
        <v>30</v>
      </c>
      <c r="B31" s="1" t="s">
        <v>2021</v>
      </c>
      <c r="C31" s="1" t="s">
        <v>2022</v>
      </c>
      <c r="D31" s="1" t="s">
        <v>2146</v>
      </c>
      <c r="E31" s="1" t="s">
        <v>2101</v>
      </c>
      <c r="F31" s="1" t="s">
        <v>2142</v>
      </c>
      <c r="G31" s="1" t="s">
        <v>2102</v>
      </c>
      <c r="H31" s="1" t="s">
        <v>2147</v>
      </c>
      <c r="I31" s="30" t="s">
        <v>2148</v>
      </c>
      <c r="J31" s="30" t="s">
        <v>2149</v>
      </c>
    </row>
    <row r="32" spans="1:10" ht="54.75" customHeight="1">
      <c r="A32" s="1">
        <v>31</v>
      </c>
      <c r="B32" s="1" t="s">
        <v>2021</v>
      </c>
      <c r="C32" s="1" t="s">
        <v>2022</v>
      </c>
      <c r="D32" s="1" t="s">
        <v>2150</v>
      </c>
      <c r="E32" s="1" t="s">
        <v>37</v>
      </c>
      <c r="F32" s="1" t="s">
        <v>2142</v>
      </c>
      <c r="G32" s="1" t="s">
        <v>2107</v>
      </c>
      <c r="H32" s="1" t="s">
        <v>2151</v>
      </c>
      <c r="I32" s="30" t="s">
        <v>2152</v>
      </c>
      <c r="J32" s="30" t="s">
        <v>2153</v>
      </c>
    </row>
    <row r="33" spans="1:10" ht="54.75" customHeight="1">
      <c r="A33" s="1">
        <v>32</v>
      </c>
      <c r="B33" s="1" t="s">
        <v>2021</v>
      </c>
      <c r="C33" s="1" t="s">
        <v>2022</v>
      </c>
      <c r="D33" s="1" t="s">
        <v>2154</v>
      </c>
      <c r="E33" s="1" t="s">
        <v>36</v>
      </c>
      <c r="F33" s="1" t="s">
        <v>2142</v>
      </c>
      <c r="G33" s="1" t="s">
        <v>2112</v>
      </c>
      <c r="H33" s="1" t="s">
        <v>2155</v>
      </c>
      <c r="I33" s="30" t="s">
        <v>2156</v>
      </c>
      <c r="J33" s="30" t="s">
        <v>2157</v>
      </c>
    </row>
    <row r="34" spans="1:10" ht="41.25" customHeight="1">
      <c r="A34" s="1">
        <v>33</v>
      </c>
      <c r="B34" s="1" t="s">
        <v>2021</v>
      </c>
      <c r="C34" s="1" t="s">
        <v>2022</v>
      </c>
      <c r="D34" s="1" t="s">
        <v>2158</v>
      </c>
      <c r="E34" s="1" t="s">
        <v>522</v>
      </c>
      <c r="F34" s="1" t="s">
        <v>2142</v>
      </c>
      <c r="G34" s="1" t="s">
        <v>2122</v>
      </c>
      <c r="H34" s="1" t="s">
        <v>2159</v>
      </c>
      <c r="I34" s="30" t="s">
        <v>2160</v>
      </c>
      <c r="J34" s="30" t="s">
        <v>526</v>
      </c>
    </row>
    <row r="35" spans="1:10" ht="54.75" customHeight="1">
      <c r="A35" s="1">
        <v>34</v>
      </c>
      <c r="B35" s="1" t="s">
        <v>2021</v>
      </c>
      <c r="C35" s="1" t="s">
        <v>2022</v>
      </c>
      <c r="D35" s="1" t="s">
        <v>2161</v>
      </c>
      <c r="E35" s="1" t="s">
        <v>598</v>
      </c>
      <c r="F35" s="1" t="s">
        <v>2142</v>
      </c>
      <c r="G35" s="1" t="s">
        <v>2117</v>
      </c>
      <c r="H35" s="1" t="s">
        <v>2162</v>
      </c>
      <c r="I35" s="30" t="s">
        <v>2163</v>
      </c>
      <c r="J35" s="30" t="s">
        <v>2164</v>
      </c>
    </row>
    <row r="36" spans="1:10" ht="54.75" customHeight="1">
      <c r="A36" s="1">
        <v>35</v>
      </c>
      <c r="B36" s="1" t="s">
        <v>2021</v>
      </c>
      <c r="C36" s="1" t="s">
        <v>2022</v>
      </c>
      <c r="D36" s="1" t="s">
        <v>2165</v>
      </c>
      <c r="E36" s="1" t="s">
        <v>2085</v>
      </c>
      <c r="F36" s="1" t="s">
        <v>72</v>
      </c>
      <c r="G36" s="1" t="s">
        <v>2073</v>
      </c>
      <c r="H36" s="1" t="s">
        <v>2086</v>
      </c>
      <c r="I36" s="30" t="s">
        <v>2166</v>
      </c>
      <c r="J36" s="30" t="s">
        <v>2167</v>
      </c>
    </row>
    <row r="37" spans="1:10" ht="15" customHeight="1">
      <c r="A37" s="1">
        <v>36</v>
      </c>
      <c r="B37" s="1" t="s">
        <v>2021</v>
      </c>
      <c r="C37" s="1" t="s">
        <v>2022</v>
      </c>
      <c r="D37" s="1" t="s">
        <v>2168</v>
      </c>
      <c r="E37" s="1" t="s">
        <v>35</v>
      </c>
      <c r="F37" s="1" t="s">
        <v>2169</v>
      </c>
      <c r="G37" s="1" t="s">
        <v>2170</v>
      </c>
      <c r="H37" s="1" t="s">
        <v>2171</v>
      </c>
      <c r="I37" s="30" t="s">
        <v>2172</v>
      </c>
      <c r="J37" s="30" t="s">
        <v>2173</v>
      </c>
    </row>
    <row r="38" spans="1:10" ht="409.5" customHeight="1">
      <c r="A38" s="1">
        <v>37</v>
      </c>
      <c r="B38" s="1" t="s">
        <v>2021</v>
      </c>
      <c r="C38" s="1" t="s">
        <v>2022</v>
      </c>
      <c r="D38" s="1" t="s">
        <v>2174</v>
      </c>
      <c r="E38" s="1" t="s">
        <v>36</v>
      </c>
      <c r="F38" s="1" t="s">
        <v>2175</v>
      </c>
      <c r="G38" s="1" t="s">
        <v>2176</v>
      </c>
      <c r="H38" s="1" t="s">
        <v>2177</v>
      </c>
      <c r="I38" s="30" t="s">
        <v>2178</v>
      </c>
      <c r="J38" s="30" t="s">
        <v>2179</v>
      </c>
    </row>
    <row r="39" spans="1:10" ht="409.5" customHeight="1">
      <c r="A39" s="1">
        <v>38</v>
      </c>
      <c r="B39" s="1" t="s">
        <v>2021</v>
      </c>
      <c r="C39" s="1" t="s">
        <v>2022</v>
      </c>
      <c r="D39" s="1" t="s">
        <v>2180</v>
      </c>
      <c r="E39" s="1" t="s">
        <v>39</v>
      </c>
      <c r="F39" s="1" t="s">
        <v>2095</v>
      </c>
      <c r="G39" s="1" t="s">
        <v>2181</v>
      </c>
      <c r="H39" s="1" t="s">
        <v>2182</v>
      </c>
      <c r="I39" s="30" t="s">
        <v>2183</v>
      </c>
      <c r="J39" s="30" t="s">
        <v>2184</v>
      </c>
    </row>
    <row r="41" spans="1:10">
      <c r="A41" s="32" t="s">
        <v>2185</v>
      </c>
    </row>
    <row r="42" spans="1:10" ht="409.6">
      <c r="A42" s="30" t="s">
        <v>2186</v>
      </c>
    </row>
  </sheetData>
  <mergeCells count="1"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Country_Master_Loan</vt:lpstr>
      <vt:lpstr>Country_Master_Institutions</vt:lpstr>
      <vt:lpstr>Institution_Count_Detail</vt:lpstr>
      <vt:lpstr>Loan_Book_Detail</vt:lpstr>
      <vt:lpstr>Classification_Notes</vt:lpstr>
      <vt:lpstr>Evidence_Index</vt:lpstr>
      <vt:lpstr>Methodology</vt:lpstr>
      <vt:lpstr>QA_Checks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QM11118</cp:lastModifiedBy>
  <cp:revision>0</cp:revision>
  <dcterms:created xsi:type="dcterms:W3CDTF">2026-08-10T09:33:17Z</dcterms:created>
  <dcterms:modified xsi:type="dcterms:W3CDTF">2026-08-11T09:17:06Z</dcterms:modified>
  <dc:language>en-US</dc:language>
</cp:coreProperties>
</file>