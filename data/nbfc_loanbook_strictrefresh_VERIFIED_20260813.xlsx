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imde\Downloads\"/>
    </mc:Choice>
  </mc:AlternateContent>
  <xr:revisionPtr revIDLastSave="0" documentId="13_ncr:1_{B440D49F-317E-4924-9981-038B30714286}" xr6:coauthVersionLast="47" xr6:coauthVersionMax="47" xr10:uidLastSave="{00000000-0000-0000-0000-000000000000}"/>
  <bookViews>
    <workbookView xWindow="-98" yWindow="-98" windowWidth="21795" windowHeight="12975" tabRatio="500" activeTab="1" xr2:uid="{00000000-000D-0000-FFFF-FFFF00000000}"/>
  </bookViews>
  <sheets>
    <sheet name="README" sheetId="1" r:id="rId1"/>
    <sheet name="Country_Master_Loan" sheetId="2" r:id="rId2"/>
    <sheet name="Country_Master_Institutions" sheetId="3" r:id="rId3"/>
    <sheet name="Institution_Count_Detail" sheetId="4" r:id="rId4"/>
    <sheet name="Loan_Book_Detail" sheetId="5" r:id="rId5"/>
    <sheet name="Classification_Notes" sheetId="6" r:id="rId6"/>
    <sheet name="Evidence_Index" sheetId="7" r:id="rId7"/>
    <sheet name="Methodology" sheetId="8" r:id="rId8"/>
    <sheet name="QA_Checks" sheetId="9" r:id="rId9"/>
    <sheet name="Change_Log" sheetId="10" r:id="rId10"/>
  </sheets>
  <definedNames>
    <definedName name="_xlnm._FilterDatabase" localSheetId="2" hidden="1">Country_Master_Institutions!$A$1:$L$85</definedName>
    <definedName name="_xlnm._FilterDatabase" localSheetId="1" hidden="1">Country_Master_Loan!$A$1:$AB$85</definedName>
    <definedName name="_xlnm._FilterDatabase" localSheetId="3" hidden="1">Institution_Count_Detail!$A$1:$O$104</definedName>
    <definedName name="_xlnm._FilterDatabase" localSheetId="4" hidden="1">Loan_Book_Detail!$A$1:$Z$93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M85" i="2" l="1"/>
  <c r="AM84" i="2"/>
  <c r="AM83" i="2"/>
  <c r="AM81" i="2"/>
  <c r="AM79" i="2"/>
  <c r="AM78" i="2"/>
  <c r="AM77" i="2"/>
  <c r="AM75" i="2"/>
  <c r="AM74" i="2"/>
  <c r="AM73" i="2"/>
  <c r="AH70" i="2"/>
  <c r="AM69" i="2"/>
  <c r="AM68" i="2"/>
  <c r="AM67" i="2"/>
  <c r="AM66" i="2"/>
  <c r="AM65" i="2"/>
  <c r="G64" i="2"/>
  <c r="AH64" i="2" s="1"/>
  <c r="AM63" i="2"/>
  <c r="AM62" i="2"/>
  <c r="AM61" i="2"/>
  <c r="AM60" i="2"/>
  <c r="AM59" i="2"/>
  <c r="AM58" i="2"/>
  <c r="AH57" i="2"/>
  <c r="AM54" i="2"/>
  <c r="AM51" i="2"/>
  <c r="AH49" i="2"/>
  <c r="G47" i="2"/>
  <c r="AM47" i="2" s="1"/>
  <c r="AH46" i="2"/>
  <c r="AM43" i="2"/>
  <c r="AM42" i="2"/>
  <c r="AM41" i="2"/>
  <c r="AM40" i="2"/>
  <c r="G39" i="2"/>
  <c r="AM39" i="2" s="1"/>
  <c r="AM38" i="2"/>
  <c r="AM37" i="2"/>
  <c r="AH35" i="2"/>
  <c r="AH34" i="2"/>
  <c r="AH32" i="2"/>
  <c r="AM29" i="2"/>
  <c r="AM27" i="2"/>
  <c r="AM26" i="2"/>
  <c r="AM25" i="2"/>
  <c r="AM24" i="2"/>
  <c r="AM23" i="2"/>
  <c r="AM22" i="2"/>
  <c r="AM21" i="2"/>
  <c r="AH20" i="2"/>
  <c r="AM19" i="2"/>
  <c r="AH18" i="2"/>
  <c r="AM16" i="2"/>
  <c r="AM15" i="2"/>
  <c r="AH14" i="2"/>
  <c r="AM13" i="2"/>
  <c r="AH12" i="2"/>
  <c r="G11" i="2"/>
  <c r="G10" i="2"/>
  <c r="AM10" i="2" s="1"/>
  <c r="AM9" i="2"/>
  <c r="AM8" i="2"/>
  <c r="G7" i="2"/>
  <c r="AH7" i="2" s="1"/>
  <c r="AM6" i="2"/>
  <c r="AM5" i="2"/>
  <c r="AM4" i="2"/>
  <c r="AH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C1" authorId="0" shapeId="0" xr:uid="{00000000-0006-0000-0100-00001F000000}">
      <text>
        <r>
          <rPr>
            <sz val="10"/>
            <rFont val="Arial"/>
            <family val="2"/>
          </rPr>
          <t>OK = correct, unchanged
CHANGED = value was wrong, now fixed
FLAG-SOURCE = correct but weak citation
FLAG-SCOPE = correct but not pure non-bank
PENDING = no data</t>
        </r>
      </text>
    </comment>
    <comment ref="AD1" authorId="0" shapeId="0" xr:uid="{00000000-0006-0000-0100-000020000000}">
      <text>
        <r>
          <rPr>
            <sz val="10"/>
            <rFont val="Arial"/>
            <family val="2"/>
          </rPr>
          <t>Every country converted at one FX date (10-Aug-2026).
Column I uses each country's own data date.
Use one or the other, not both.</t>
        </r>
      </text>
    </comment>
    <comment ref="AE1" authorId="0" shapeId="0" xr:uid="{00000000-0006-0000-0100-000021000000}">
      <text>
        <r>
          <rPr>
            <sz val="10"/>
            <rFont val="Arial"/>
            <family val="2"/>
          </rPr>
          <t>Gross loans including mortgage.
Column G = AE − AF (the deduction).
Only filled where the source includes housing.</t>
        </r>
      </text>
    </comment>
    <comment ref="AG1" authorId="0" shapeId="0" xr:uid="{00000000-0006-0000-0100-000022000000}">
      <text>
        <r>
          <rPr>
            <sz val="10"/>
            <rFont val="Arial"/>
            <family val="2"/>
          </rPr>
          <t>What the loan series covers:
pure non-bank (green)
pure bank (blue)
mixed bank+non-bank (yellow)</t>
        </r>
      </text>
    </comment>
    <comment ref="AH1" authorId="0" shapeId="0" xr:uid="{00000000-0006-0000-0100-000023000000}">
      <text>
        <r>
          <rPr>
            <sz val="10"/>
            <rFont val="Arial"/>
            <family val="2"/>
          </rPr>
          <t>Active borrowers behind this row's loans.
Col AJ says what is counted.</t>
        </r>
      </text>
    </comment>
    <comment ref="AI1" authorId="0" shapeId="0" xr:uid="{00000000-0006-0000-0100-000037000000}">
      <text>
        <r>
          <rPr>
            <sz val="10"/>
            <rFont val="Arial"/>
            <family val="2"/>
          </rPr>
          <t>Official = published by a regulator or credit bureau
Proxy = published but different scope, or a survey share
Estimate = calculated from a benchmark or peer group</t>
        </r>
      </text>
    </comment>
    <comment ref="AM1" authorId="0" shapeId="0" xr:uid="{00000000-0006-0000-0100-000038000000}">
      <text>
        <r>
          <rPr>
            <sz val="10"/>
            <rFont val="Arial"/>
            <family val="2"/>
          </rPr>
          <t>Average loan size, local currency.
Some are published, some are book ÷ borrowers.</t>
        </r>
      </text>
    </comment>
    <comment ref="AN1" authorId="0" shapeId="0" xr:uid="{00000000-0006-0000-0100-00005D000000}">
      <text>
        <r>
          <rPr>
            <sz val="10"/>
            <rFont val="Arial"/>
            <family val="2"/>
          </rPr>
          <t>Official = published figure
Proxy = published but different scope
Estimate = calculated</t>
        </r>
      </text>
    </comment>
    <comment ref="AO1" authorId="0" shapeId="0" xr:uid="{00000000-0006-0000-0100-00005E000000}">
      <text>
        <r>
          <rPr>
            <sz val="10"/>
            <rFont val="Arial"/>
            <family val="2"/>
          </rPr>
          <t>Delinquency rate. Col AQ gives the basis:
DPD30/PAR30 = 30+ days · DPD60 = 60+ · NPL90 = 90+ (most common).
Compare only within the same basis.</t>
        </r>
      </text>
    </comment>
    <comment ref="AP1" authorId="0" shapeId="0" xr:uid="{00000000-0006-0000-0100-000061000000}">
      <text>
        <r>
          <rPr>
            <sz val="10"/>
            <rFont val="Arial"/>
            <family val="2"/>
          </rPr>
          <t>Official = published figure
Proxy = published but different scope, or a peer figure
Estimate = calculated from a peer group</t>
        </r>
      </text>
    </comment>
    <comment ref="AH2" authorId="0" shapeId="0" xr:uid="{00000000-0006-0000-0100-000024000000}">
      <text>
        <r>
          <rPr>
            <sz val="10"/>
            <rFont val="Arial"/>
            <family val="2"/>
          </rPr>
          <t>ESTIMATE — share of adults who borrow formally.
See col AI for the assumption used.</t>
        </r>
      </text>
    </comment>
    <comment ref="AM2" authorId="0" shapeId="0" xr:uid="{00000000-0006-0000-0100-000039000000}">
      <text>
        <r>
          <rPr>
            <sz val="10"/>
            <rFont val="Arial"/>
            <family val="2"/>
          </rPr>
          <t>Rs 69,052 — avg NEW NBFC personal loan (CRIF, Q4 FY26).
Personal loans only.</t>
        </r>
      </text>
    </comment>
    <comment ref="AH3" authorId="0" shapeId="0" xr:uid="{00000000-0006-0000-0100-000025000000}">
      <text>
        <r>
          <rPr>
            <sz val="10"/>
            <rFont val="Arial"/>
            <family val="2"/>
          </rPr>
          <t>ESTIMATE — borrowers = loan book ÷ estimated ticket (col AL).
Order of magnitude only.</t>
        </r>
      </text>
    </comment>
    <comment ref="AM3" authorId="0" shapeId="0" xr:uid="{00000000-0006-0000-0100-00003A000000}">
      <text>
        <r>
          <rPr>
            <sz val="10"/>
            <rFont val="Arial"/>
            <family val="2"/>
          </rPr>
          <t>ESTIMATE — no published ticket.
Set at the segment's median ratio to GDP per capita,
using the 63 real tickets in this file as the benchmark.</t>
        </r>
      </text>
    </comment>
    <comment ref="G7" authorId="0" shapeId="0" xr:uid="{00000000-0006-0000-0100-000001000000}">
      <text>
        <r>
          <rPr>
            <sz val="10"/>
            <rFont val="Arial"/>
            <family val="2"/>
          </rPr>
          <t>CHANGED — mortgage deducted
Gross 3,537.0bn − housing 1,177.8bn = 2,359.2bn
BSP QUBS Q3-2025 (housing share 33.3%), checked directly.</t>
        </r>
      </text>
    </comment>
    <comment ref="I7" authorId="0" shapeId="0" xr:uid="{00000000-0006-0000-0100-00000A000000}">
      <text>
        <r>
          <rPr>
            <sz val="10"/>
            <rFont val="Arial"/>
            <family val="2"/>
          </rPr>
          <t>CHANGED
usd 42.38 → 40.50
Follows the mortgage deduction.</t>
        </r>
      </text>
    </comment>
    <comment ref="X7" authorId="0" shapeId="0" xr:uid="{00000000-0006-0000-0100-000018000000}">
      <text>
        <r>
          <rPr>
            <sz val="10"/>
            <rFont val="Arial"/>
            <family val="2"/>
          </rPr>
          <t>PROXY — 2,748 lending &amp; financing companies (AMLC list, Jan-2026).
The file can't be opened, so unverified.</t>
        </r>
      </text>
    </comment>
    <comment ref="AH7" authorId="0" shapeId="0" xr:uid="{00000000-0006-0000-0100-000026000000}">
      <text>
        <r>
          <rPr>
            <sz val="10"/>
            <rFont val="Arial"/>
            <family val="2"/>
          </rPr>
          <t>ESTIMATE — borrowers = loan book ÷ estimated ticket (col AL).
Order of magnitude only.</t>
        </r>
      </text>
    </comment>
    <comment ref="AM7" authorId="0" shapeId="0" xr:uid="{00000000-0006-0000-0100-00003B000000}">
      <text>
        <r>
          <rPr>
            <sz val="10"/>
            <rFont val="Arial"/>
            <family val="2"/>
          </rPr>
          <t>ESTIMATE — no published ticket.
Set at the segment's median ratio to GDP per capita,
using the 63 real tickets in this file as the benchmark.</t>
        </r>
      </text>
    </comment>
    <comment ref="G10" authorId="0" shapeId="0" xr:uid="{00000000-0006-0000-0100-000002000000}">
      <text>
        <r>
          <rPr>
            <sz val="10"/>
            <rFont val="Arial"/>
            <family val="2"/>
          </rPr>
          <t>CHANGED — mortgage deducted
Gross 1,865.8tn − mortgage 1,178.6tn = 687.2tn
BOK split, end-Mar-2026.</t>
        </r>
      </text>
    </comment>
    <comment ref="I10" authorId="0" shapeId="0" xr:uid="{00000000-0006-0000-0100-00000B000000}">
      <text>
        <r>
          <rPr>
            <sz val="10"/>
            <rFont val="Arial"/>
            <family val="2"/>
          </rPr>
          <t>CHANGED
usd 1,352.03 → 497.97
Follows the mortgage deduction.</t>
        </r>
      </text>
    </comment>
    <comment ref="G11" authorId="0" shapeId="0" xr:uid="{00000000-0006-0000-0100-000003000000}">
      <text>
        <r>
          <rPr>
            <sz val="10"/>
            <rFont val="Arial"/>
            <family val="2"/>
          </rPr>
          <t>CHANGED — housing deducted
13,843,306 − 11,843,530 (house purchase + repair) = 1,999,776
CBC Jun-2026 file, checked directly.</t>
        </r>
      </text>
    </comment>
    <comment ref="I11" authorId="0" shapeId="0" xr:uid="{00000000-0006-0000-0100-00000C000000}">
      <text>
        <r>
          <rPr>
            <sz val="10"/>
            <rFont val="Arial"/>
            <family val="2"/>
          </rPr>
          <t>CHANGED
usd 425.95 → 61.53
Follows the housing deduction.</t>
        </r>
      </text>
    </comment>
    <comment ref="AM11" authorId="0" shapeId="0" xr:uid="{00000000-0006-0000-0100-00003C000000}">
      <text>
        <r>
          <rPr>
            <sz val="10"/>
            <rFont val="Arial"/>
            <family val="2"/>
          </rPr>
          <t>NT$728k — avg balance per borrower (JCIC, 2024).
Unsecured loans only.</t>
        </r>
      </text>
    </comment>
    <comment ref="AH12" authorId="0" shapeId="0" xr:uid="{00000000-0006-0000-0100-000027000000}">
      <text>
        <r>
          <rPr>
            <sz val="10"/>
            <rFont val="Arial"/>
            <family val="2"/>
          </rPr>
          <t>ESTIMATE — borrowers = loan book ÷ estimated ticket (col AL).
Order of magnitude only.</t>
        </r>
      </text>
    </comment>
    <comment ref="AM12" authorId="0" shapeId="0" xr:uid="{00000000-0006-0000-0100-00003D000000}">
      <text>
        <r>
          <rPr>
            <sz val="10"/>
            <rFont val="Arial"/>
            <family val="2"/>
          </rPr>
          <t>ESTIMATE — no published ticket.
Set at the segment's median ratio to GDP per capita,
using the 63 real tickets in this file as the benchmark.</t>
        </r>
      </text>
    </comment>
    <comment ref="G13" authorId="0" shapeId="0" xr:uid="{00000000-0006-0000-0100-000004000000}">
      <text>
        <r>
          <rPr>
            <sz val="10"/>
            <rFont val="Arial"/>
            <family val="2"/>
          </rPr>
          <t>REVERTED — mortgage deduction removed.
Back to gross 998bn (still includes house building).
Yellow: figure is press-quoted, not from an SBP table.</t>
        </r>
      </text>
    </comment>
    <comment ref="I13" authorId="0" shapeId="0" xr:uid="{00000000-0006-0000-0100-00000D000000}">
      <text>
        <r>
          <rPr>
            <sz val="10"/>
            <rFont val="Arial"/>
            <family val="2"/>
          </rPr>
          <t>CHANGED
usd 2.80 → 3.60
Follows the reversion to gross.</t>
        </r>
      </text>
    </comment>
    <comment ref="AH14" authorId="0" shapeId="0" xr:uid="{00000000-0006-0000-0100-000028000000}">
      <text>
        <r>
          <rPr>
            <sz val="10"/>
            <rFont val="Arial"/>
            <family val="2"/>
          </rPr>
          <t>ESTIMATE — borrowers = loan book ÷ estimated ticket (col AL).
Order of magnitude only.</t>
        </r>
      </text>
    </comment>
    <comment ref="AM14" authorId="0" shapeId="0" xr:uid="{00000000-0006-0000-0100-00003E000000}">
      <text>
        <r>
          <rPr>
            <sz val="10"/>
            <rFont val="Arial"/>
            <family val="2"/>
          </rPr>
          <t>ESTIMATE — no published ticket.
Set at the segment's median ratio to GDP per capita,
using the 63 real tickets in this file as the benchmark.</t>
        </r>
      </text>
    </comment>
    <comment ref="AM17" authorId="0" shapeId="0" xr:uid="{00000000-0006-0000-0100-00003F000000}">
      <text>
        <r>
          <rPr>
            <sz val="10"/>
            <rFont val="Arial"/>
            <family val="2"/>
          </rPr>
          <t>KES ~13,960 — avg digital loan (CBK, Jun-2025).</t>
        </r>
      </text>
    </comment>
    <comment ref="AH18" authorId="0" shapeId="0" xr:uid="{00000000-0006-0000-0100-000029000000}">
      <text>
        <r>
          <rPr>
            <sz val="10"/>
            <rFont val="Arial"/>
            <family val="2"/>
          </rPr>
          <t>PROXY — borrowers = loans ÷ ticket
185.8bn ÷ R41,300 = ~4.5m
Ticket is market-wide origination, so treat as rough.</t>
        </r>
      </text>
    </comment>
    <comment ref="AM18" authorId="0" shapeId="0" xr:uid="{00000000-0006-0000-0100-000040000000}">
      <text>
        <r>
          <rPr>
            <sz val="10"/>
            <rFont val="Arial"/>
            <family val="2"/>
          </rPr>
          <t>R41.3k — avg unsecured loan granted (NCR, Q1-2025).
All providers.</t>
        </r>
      </text>
    </comment>
    <comment ref="X19" authorId="0" shapeId="0" xr:uid="{00000000-0006-0000-0100-000019000000}">
      <text>
        <r>
          <rPr>
            <sz val="10"/>
            <rFont val="Arial"/>
            <family val="2"/>
          </rPr>
          <t>CHANGED — 829 → 785
CBN cancelled 46 microfinance-bank licences (Jul-2026).</t>
        </r>
      </text>
    </comment>
    <comment ref="AH20" authorId="0" shapeId="0" xr:uid="{00000000-0006-0000-0100-00002A000000}">
      <text>
        <r>
          <rPr>
            <sz val="10"/>
            <rFont val="Arial"/>
            <family val="2"/>
          </rPr>
          <t>PROXY — borrowers = loans ÷ ticket
5.65bn ÷ GHS 865 = ~6.5m
Association reports '5m+ customers served' — consistent.</t>
        </r>
      </text>
    </comment>
    <comment ref="AM20" authorId="0" shapeId="0" xr:uid="{00000000-0006-0000-0100-000041000000}">
      <text>
        <r>
          <rPr>
            <sz val="10"/>
            <rFont val="Arial"/>
            <family val="2"/>
          </rPr>
          <t>GHS 865 — avg loan granted (S&amp;L association, 2024).</t>
        </r>
      </text>
    </comment>
    <comment ref="I25" authorId="0" shapeId="0" xr:uid="{00000000-0006-0000-0100-00000E000000}">
      <text>
        <r>
          <rPr>
            <sz val="10"/>
            <rFont val="Arial"/>
            <family val="2"/>
          </rPr>
          <t>CHANGED
usd 2.39 → 2.84
Exchange rate fixed: 10.9 → 9.2 TJS/USD.</t>
        </r>
      </text>
    </comment>
    <comment ref="AH25" authorId="0" shapeId="0" xr:uid="{00000000-0006-0000-0100-00002B000000}">
      <text>
        <r>
          <rPr>
            <sz val="10"/>
            <rFont val="Arial"/>
            <family val="2"/>
          </rPr>
          <t>ESTIMATE — share of adults who borrow formally.
See col AI for the assumption used.</t>
        </r>
      </text>
    </comment>
    <comment ref="AM25" authorId="0" shapeId="0" xr:uid="{00000000-0006-0000-0100-000042000000}">
      <text>
        <r>
          <rPr>
            <sz val="10"/>
            <rFont val="Arial"/>
            <family val="2"/>
          </rPr>
          <t>ESTIMATE — loan book ÷ estimated borrowers.</t>
        </r>
      </text>
    </comment>
    <comment ref="AH26" authorId="0" shapeId="0" xr:uid="{00000000-0006-0000-0100-00002C000000}">
      <text>
        <r>
          <rPr>
            <sz val="10"/>
            <rFont val="Arial"/>
            <family val="2"/>
          </rPr>
          <t>ESTIMATE — share of adults who borrow formally.
See col AI for the assumption used.</t>
        </r>
      </text>
    </comment>
    <comment ref="AM26" authorId="0" shapeId="0" xr:uid="{00000000-0006-0000-0100-000043000000}">
      <text>
        <r>
          <rPr>
            <sz val="10"/>
            <rFont val="Arial"/>
            <family val="2"/>
          </rPr>
          <t>ESTIMATE — loan book ÷ estimated borrowers.</t>
        </r>
      </text>
    </comment>
    <comment ref="AO26" authorId="0" shapeId="0" xr:uid="{00000000-0006-0000-0100-00005F000000}">
      <text>
        <r>
          <rPr>
            <sz val="10"/>
            <rFont val="Arial"/>
            <family val="2"/>
          </rPr>
          <t>ESTIMATE — regional/analog median, not country data.</t>
        </r>
      </text>
    </comment>
    <comment ref="AM28" authorId="0" shapeId="0" xr:uid="{00000000-0006-0000-0100-000044000000}">
      <text>
        <r>
          <rPr>
            <sz val="10"/>
            <rFont val="Arial"/>
            <family val="2"/>
          </rPr>
          <t>ARS 4.1m — avg balance per debtor, all loan types (BCRA, Dec-2025).</t>
        </r>
      </text>
    </comment>
    <comment ref="AM30" authorId="0" shapeId="0" xr:uid="{00000000-0006-0000-0100-000045000000}">
      <text>
        <r>
          <rPr>
            <sz val="10"/>
            <rFont val="Arial"/>
            <family val="2"/>
          </rPr>
          <t>CLP 1,159,275 — MEDIAN consumer debt per debtor (CMF, Jun-2025).</t>
        </r>
      </text>
    </comment>
    <comment ref="X31" authorId="0" shapeId="0" xr:uid="{00000000-0006-0000-0100-00001A000000}">
      <text>
        <r>
          <rPr>
            <sz val="10"/>
            <rFont val="Arial"/>
            <family val="2"/>
          </rPr>
          <t>CHANGED — 28 → 48
Three sources citing the regulator say 48 licences (end-2025).</t>
        </r>
      </text>
    </comment>
    <comment ref="AM31" authorId="0" shapeId="0" xr:uid="{00000000-0006-0000-0100-000046000000}">
      <text>
        <r>
          <rPr>
            <sz val="10"/>
            <rFont val="Arial"/>
            <family val="2"/>
          </rPr>
          <t>EGP ~7,080 — avg financed per customer in the month (FRA, Jan-2026).</t>
        </r>
      </text>
    </comment>
    <comment ref="AH32" authorId="0" shapeId="0" xr:uid="{00000000-0006-0000-0100-00002D000000}">
      <text>
        <r>
          <rPr>
            <sz val="10"/>
            <rFont val="Arial"/>
            <family val="2"/>
          </rPr>
          <t>PROXY — borrowers = loans ÷ ticket
99bn ÷ MAD 79,700 = ~1.24m
Origination basis; independent estimates suggest 1.2–1.4m.</t>
        </r>
      </text>
    </comment>
    <comment ref="AM32" authorId="0" shapeId="0" xr:uid="{00000000-0006-0000-0100-000047000000}">
      <text>
        <r>
          <rPr>
            <sz val="10"/>
            <rFont val="Arial"/>
            <family val="2"/>
          </rPr>
          <t>MAD ~79.7k — avg new loan, all products (APSF, 2024).
Personal loans alone: 47.4k.</t>
        </r>
      </text>
    </comment>
    <comment ref="AH34" authorId="0" shapeId="0" xr:uid="{00000000-0006-0000-0100-00002E000000}">
      <text>
        <r>
          <rPr>
            <sz val="10"/>
            <rFont val="Arial"/>
            <family val="2"/>
          </rPr>
          <t>ESTIMATE — borrowers = loan book ÷ estimated ticket (col AL).
Order of magnitude only.</t>
        </r>
      </text>
    </comment>
    <comment ref="AM34" authorId="0" shapeId="0" xr:uid="{00000000-0006-0000-0100-000048000000}">
      <text>
        <r>
          <rPr>
            <sz val="10"/>
            <rFont val="Arial"/>
            <family val="2"/>
          </rPr>
          <t>ESTIMATE — no published ticket.
Set at the segment's median ratio to GDP per capita,
using the 63 real tickets in this file as the benchmark.</t>
        </r>
      </text>
    </comment>
    <comment ref="I35" authorId="0" shapeId="0" xr:uid="{00000000-0006-0000-0100-00000F000000}">
      <text>
        <r>
          <rPr>
            <sz val="10"/>
            <rFont val="Arial"/>
            <family val="2"/>
          </rPr>
          <t>CHANGED
usd 3.56 → 3.07
Exchange rate fixed: 4.80 → 5.5677 LYD/USD (2025 devaluation).</t>
        </r>
      </text>
    </comment>
    <comment ref="AH35" authorId="0" shapeId="0" xr:uid="{00000000-0006-0000-0100-00002F000000}">
      <text>
        <r>
          <rPr>
            <sz val="10"/>
            <rFont val="Arial"/>
            <family val="2"/>
          </rPr>
          <t>ESTIMATE — borrowers = loan book ÷ estimated ticket (col AL).
Order of magnitude only.</t>
        </r>
      </text>
    </comment>
    <comment ref="AM35" authorId="0" shapeId="0" xr:uid="{00000000-0006-0000-0100-000049000000}">
      <text>
        <r>
          <rPr>
            <sz val="10"/>
            <rFont val="Arial"/>
            <family val="2"/>
          </rPr>
          <t>ESTIMATE — no published ticket.
Set at the segment's median ratio to GDP per capita,
using the 63 real tickets in this file as the benchmark.</t>
        </r>
      </text>
    </comment>
    <comment ref="G39" authorId="0" shapeId="0" xr:uid="{00000000-0006-0000-0100-000005000000}">
      <text>
        <r>
          <rPr>
            <sz val="10"/>
            <rFont val="Arial"/>
            <family val="2"/>
          </rPr>
          <t>CHANGED — mortgage deducted
Gross 6,103.5M − property-secured 3,093.9M = 3,009.6M
CBB report, Jun-2025.</t>
        </r>
      </text>
    </comment>
    <comment ref="I39" authorId="0" shapeId="0" xr:uid="{00000000-0006-0000-0100-000010000000}">
      <text>
        <r>
          <rPr>
            <sz val="10"/>
            <rFont val="Arial"/>
            <family val="2"/>
          </rPr>
          <t>CHANGED
usd 16.18 → 7.98
Follows the mortgage deduction.</t>
        </r>
      </text>
    </comment>
    <comment ref="Z39" authorId="0" shapeId="0" xr:uid="{00000000-0006-0000-0100-00001E000000}">
      <text>
        <r>
          <rPr>
            <sz val="10"/>
            <rFont val="Arial"/>
            <family val="2"/>
          </rPr>
          <t>CHANGED — date 2025-09 → 2024-04
The cited fact sheet is from Apr-2024; its count is from Dec-2022.</t>
        </r>
      </text>
    </comment>
    <comment ref="AH39" authorId="0" shapeId="0" xr:uid="{00000000-0006-0000-0100-000030000000}">
      <text>
        <r>
          <rPr>
            <sz val="10"/>
            <rFont val="Arial"/>
            <family val="2"/>
          </rPr>
          <t>ESTIMATE — share of adults who borrow formally.
See col AI for the assumption used.</t>
        </r>
      </text>
    </comment>
    <comment ref="AM39" authorId="0" shapeId="0" xr:uid="{00000000-0006-0000-0100-00004A000000}">
      <text>
        <r>
          <rPr>
            <sz val="10"/>
            <rFont val="Arial"/>
            <family val="2"/>
          </rPr>
          <t>ESTIMATE — loan book ÷ estimated borrowers.</t>
        </r>
      </text>
    </comment>
    <comment ref="AM40" authorId="0" shapeId="0" xr:uid="{00000000-0006-0000-0100-00004B000000}">
      <text>
        <r>
          <rPr>
            <sz val="10"/>
            <rFont val="Arial"/>
            <family val="2"/>
          </rPr>
          <t>ESTIMATE — loan book ÷ borrower proxy.
The borrower base is a low/stale survey figure, so this ticket is probably too high.</t>
        </r>
      </text>
    </comment>
    <comment ref="AM42" authorId="0" shapeId="0" xr:uid="{00000000-0006-0000-0100-00004C000000}">
      <text>
        <r>
          <rPr>
            <sz val="10"/>
            <rFont val="Arial"/>
            <family val="2"/>
          </rPr>
          <t>ESTIMATE — loan book ÷ borrower proxy.
The borrower base is a low/stale survey figure, so this ticket is probably too high.</t>
        </r>
      </text>
    </comment>
    <comment ref="AH46" authorId="0" shapeId="0" xr:uid="{00000000-0006-0000-0100-000031000000}">
      <text>
        <r>
          <rPr>
            <sz val="10"/>
            <rFont val="Arial"/>
            <family val="2"/>
          </rPr>
          <t>ESTIMATE — borrowers = loan book ÷ estimated ticket (col AL).
Order of magnitude only.</t>
        </r>
      </text>
    </comment>
    <comment ref="AM46" authorId="0" shapeId="0" xr:uid="{00000000-0006-0000-0100-00004D000000}">
      <text>
        <r>
          <rPr>
            <sz val="10"/>
            <rFont val="Arial"/>
            <family val="2"/>
          </rPr>
          <t>ESTIMATE — no published ticket.
Set at the segment's median ratio to GDP per capita,
using the 63 real tickets in this file as the benchmark.</t>
        </r>
      </text>
    </comment>
    <comment ref="G47" authorId="0" shapeId="0" xr:uid="{00000000-0006-0000-0100-000006000000}">
      <text>
        <r>
          <rPr>
            <sz val="10"/>
            <rFont val="Arial"/>
            <family val="2"/>
          </rPr>
          <t>CHANGED — mortgage deducted
Gross 4.19bn − mortgage 1.08bn = 3.11bn
PMA data, Dec-2025.</t>
        </r>
      </text>
    </comment>
    <comment ref="I47" authorId="0" shapeId="0" xr:uid="{00000000-0006-0000-0100-000011000000}">
      <text>
        <r>
          <rPr>
            <sz val="10"/>
            <rFont val="Arial"/>
            <family val="2"/>
          </rPr>
          <t>CHANGED
usd 4.40 → 3.11
Follows the mortgage deduction.</t>
        </r>
      </text>
    </comment>
    <comment ref="AH47" authorId="0" shapeId="0" xr:uid="{00000000-0006-0000-0100-000032000000}">
      <text>
        <r>
          <rPr>
            <sz val="10"/>
            <rFont val="Arial"/>
            <family val="2"/>
          </rPr>
          <t>ESTIMATE — share of adults who borrow formally.
See col AI for the assumption used.</t>
        </r>
      </text>
    </comment>
    <comment ref="AM47" authorId="0" shapeId="0" xr:uid="{00000000-0006-0000-0100-00004E000000}">
      <text>
        <r>
          <rPr>
            <sz val="10"/>
            <rFont val="Arial"/>
            <family val="2"/>
          </rPr>
          <t>ESTIMATE — loan book ÷ estimated borrowers.</t>
        </r>
      </text>
    </comment>
    <comment ref="I48" authorId="0" shapeId="0" xr:uid="{00000000-0006-0000-0100-000012000000}">
      <text>
        <r>
          <rPr>
            <sz val="10"/>
            <rFont val="Arial"/>
            <family val="2"/>
          </rPr>
          <t>CHANGED
usd 60.18 → 53.26
Exchange rate fixed: 40 → 45.19 TRY/USD.</t>
        </r>
      </text>
    </comment>
    <comment ref="AM48" authorId="0" shapeId="0" xr:uid="{00000000-0006-0000-0100-00004F000000}">
      <text>
        <r>
          <rPr>
            <sz val="10"/>
            <rFont val="Arial"/>
            <family val="2"/>
          </rPr>
          <t>TL 97,575 — avg balance per borrower (Risk Merkezi, 2025).
Stale under high inflation.</t>
        </r>
      </text>
    </comment>
    <comment ref="I49" authorId="0" shapeId="0" xr:uid="{00000000-0006-0000-0100-000013000000}">
      <text>
        <r>
          <rPr>
            <sz val="10"/>
            <rFont val="Arial"/>
            <family val="2"/>
          </rPr>
          <t>CHANGED
usd 8.38 → 0.95
Rate fixed: 250 → 2,212.70 YER/USD (the row's own source gives it).
Was ~9x too high.</t>
        </r>
      </text>
    </comment>
    <comment ref="AH49" authorId="0" shapeId="0" xr:uid="{00000000-0006-0000-0100-000033000000}">
      <text>
        <r>
          <rPr>
            <sz val="10"/>
            <rFont val="Arial"/>
            <family val="2"/>
          </rPr>
          <t>ESTIMATE — borrowers = loan book ÷ estimated ticket (col AL).
Order of magnitude only.</t>
        </r>
      </text>
    </comment>
    <comment ref="AM49" authorId="0" shapeId="0" xr:uid="{00000000-0006-0000-0100-000050000000}">
      <text>
        <r>
          <rPr>
            <sz val="10"/>
            <rFont val="Arial"/>
            <family val="2"/>
          </rPr>
          <t>ESTIMATE — no published ticket.
Set at the segment's median ratio to GDP per capita,
using the 63 real tickets in this file as the benchmark.</t>
        </r>
      </text>
    </comment>
    <comment ref="AO49" authorId="0" shapeId="0" xr:uid="{00000000-0006-0000-0100-000060000000}">
      <text>
        <r>
          <rPr>
            <sz val="10"/>
            <rFont val="Arial"/>
            <family val="2"/>
          </rPr>
          <t>ESTIMATE — regional/analog median, not country data.</t>
        </r>
      </text>
    </comment>
    <comment ref="AM52" authorId="0" shapeId="0" xr:uid="{00000000-0006-0000-0100-000051000000}">
      <text>
        <r>
          <rPr>
            <sz val="10"/>
            <rFont val="Arial"/>
            <family val="2"/>
          </rPr>
          <t>UGX 1,180,031 — avg balance per borrower (AMFIU, 2012 — dated).</t>
        </r>
      </text>
    </comment>
    <comment ref="AM53" authorId="0" shapeId="0" xr:uid="{00000000-0006-0000-0100-000052000000}">
      <text>
        <r>
          <rPr>
            <sz val="10"/>
            <rFont val="Arial"/>
            <family val="2"/>
          </rPr>
          <t>RWF 468,451 — avg balance per borrower (AMIR, 2017 — dated).</t>
        </r>
      </text>
    </comment>
    <comment ref="AM55" authorId="0" shapeId="0" xr:uid="{00000000-0006-0000-0100-000053000000}">
      <text>
        <r>
          <rPr>
            <sz val="10"/>
            <rFont val="Arial"/>
            <family val="2"/>
          </rPr>
          <t>XOF 1,526,799 — avg loan granted (Trésor CI, 2023).</t>
        </r>
      </text>
    </comment>
    <comment ref="AM56" authorId="0" shapeId="0" xr:uid="{00000000-0006-0000-0100-000054000000}">
      <text>
        <r>
          <rPr>
            <sz val="10"/>
            <rFont val="Arial"/>
            <family val="2"/>
          </rPr>
          <t>XOF 141,519 — avg credit per client (DRS-SFD, 2023).</t>
        </r>
      </text>
    </comment>
    <comment ref="AH57" authorId="0" shapeId="0" xr:uid="{00000000-0006-0000-0100-000034000000}">
      <text>
        <r>
          <rPr>
            <sz val="10"/>
            <rFont val="Arial"/>
            <family val="2"/>
          </rPr>
          <t>ESTIMATE — borrowers = loan book ÷ estimated ticket (col AL).
Order of magnitude only.</t>
        </r>
      </text>
    </comment>
    <comment ref="AM57" authorId="0" shapeId="0" xr:uid="{00000000-0006-0000-0100-000055000000}">
      <text>
        <r>
          <rPr>
            <sz val="10"/>
            <rFont val="Arial"/>
            <family val="2"/>
          </rPr>
          <t>ESTIMATE — no published ticket.
Set at the segment's median ratio to GDP per capita,
using the 63 real tickets in this file as the benchmark.</t>
        </r>
      </text>
    </comment>
    <comment ref="G62" authorId="0" shapeId="0" xr:uid="{00000000-0006-0000-0100-000007000000}">
      <text>
        <r>
          <rPr>
            <sz val="10"/>
            <rFont val="Arial"/>
            <family val="2"/>
          </rPr>
          <t>CHANGED — 8,761,000,000 → 8,500,000,000
The old figure was the sector's TOTAL ASSETS, not a loan book.
Now: Bank of Botswana survey, micro-lender loans to households, Dec-2024.</t>
        </r>
      </text>
    </comment>
    <comment ref="I62" authorId="0" shapeId="0" xr:uid="{00000000-0006-0000-0100-000014000000}">
      <text>
        <r>
          <rPr>
            <sz val="10"/>
            <rFont val="Arial"/>
            <family val="2"/>
          </rPr>
          <t>CHANGED
usd 0.65 → 0.61
Follows the loan-figure change.</t>
        </r>
      </text>
    </comment>
    <comment ref="X62" authorId="0" shapeId="0" xr:uid="{00000000-0006-0000-0100-00001B000000}">
      <text>
        <r>
          <rPr>
            <sz val="10"/>
            <rFont val="Arial"/>
            <family val="2"/>
          </rPr>
          <t>CHANGED — 282 → 407
NBFIRA Annual Report 2024, Table 2.1 (non-bank lenders, Mar-2024).</t>
        </r>
      </text>
    </comment>
    <comment ref="G64" authorId="0" shapeId="0" xr:uid="{00000000-0006-0000-0100-000008000000}">
      <text>
        <r>
          <rPr>
            <sz val="10"/>
            <rFont val="Arial"/>
            <family val="2"/>
          </rPr>
          <t>CHANGED — housing deducted
Gross 59,189M − housing 19,379M = 39,810M
BOM bulletin Table 19, checked directly.</t>
        </r>
      </text>
    </comment>
    <comment ref="I64" authorId="0" shapeId="0" xr:uid="{00000000-0006-0000-0100-000015000000}">
      <text>
        <r>
          <rPr>
            <sz val="10"/>
            <rFont val="Arial"/>
            <family val="2"/>
          </rPr>
          <t>CHANGED
usd 1.315 → 0.885
Follows the housing deduction.</t>
        </r>
      </text>
    </comment>
    <comment ref="AH64" authorId="0" shapeId="0" xr:uid="{00000000-0006-0000-0100-000035000000}">
      <text>
        <r>
          <rPr>
            <sz val="10"/>
            <rFont val="Arial"/>
            <family val="2"/>
          </rPr>
          <t>ESTIMATE — borrowers = loan book ÷ estimated ticket (col AL).
Order of magnitude only.</t>
        </r>
      </text>
    </comment>
    <comment ref="AM64" authorId="0" shapeId="0" xr:uid="{00000000-0006-0000-0100-000056000000}">
      <text>
        <r>
          <rPr>
            <sz val="10"/>
            <rFont val="Arial"/>
            <family val="2"/>
          </rPr>
          <t>ESTIMATE — no published ticket.
Set at the segment's median ratio to GDP per capita,
using the 63 real tickets in this file as the benchmark.</t>
        </r>
      </text>
    </comment>
    <comment ref="G65" authorId="0" shapeId="0" xr:uid="{00000000-0006-0000-0100-000009000000}">
      <text>
        <r>
          <rPr>
            <sz val="10"/>
            <rFont val="Arial"/>
            <family val="2"/>
          </rPr>
          <t>CHANGED — 663bn → 769.5bn MGA
Old source was a dead blog; now the official IMF survey figure (2023).</t>
        </r>
      </text>
    </comment>
    <comment ref="I65" authorId="0" shapeId="0" xr:uid="{00000000-0006-0000-0100-000016000000}">
      <text>
        <r>
          <rPr>
            <sz val="10"/>
            <rFont val="Arial"/>
            <family val="2"/>
          </rPr>
          <t>CHANGED
usd 0.147 → 0.171
Follows the loan-figure change.</t>
        </r>
      </text>
    </comment>
    <comment ref="AH70" authorId="0" shapeId="0" xr:uid="{00000000-0006-0000-0100-000036000000}">
      <text>
        <r>
          <rPr>
            <sz val="10"/>
            <rFont val="Arial"/>
            <family val="2"/>
          </rPr>
          <t>ESTIMATE — borrowers = loan book ÷ estimated ticket (col AL).
Order of magnitude only.</t>
        </r>
      </text>
    </comment>
    <comment ref="AM70" authorId="0" shapeId="0" xr:uid="{00000000-0006-0000-0100-000057000000}">
      <text>
        <r>
          <rPr>
            <sz val="10"/>
            <rFont val="Arial"/>
            <family val="2"/>
          </rPr>
          <t>ESTIMATE — no published ticket.
Set at the segment's median ratio to GDP per capita,
using the 63 real tickets in this file as the benchmark.</t>
        </r>
      </text>
    </comment>
    <comment ref="X71" authorId="0" shapeId="0" xr:uid="{00000000-0006-0000-0100-00001C000000}">
      <text>
        <r>
          <rPr>
            <sz val="10"/>
            <rFont val="Arial"/>
            <family val="2"/>
          </rPr>
          <t>CHANGED — 13,000 → 5,346
13,000 was the Fed's survey mailing list, not a company count.</t>
        </r>
      </text>
    </comment>
    <comment ref="AM71" authorId="0" shapeId="0" xr:uid="{00000000-0006-0000-0100-000058000000}">
      <text>
        <r>
          <rPr>
            <sz val="10"/>
            <rFont val="Arial"/>
            <family val="2"/>
          </rPr>
          <t>$11,694 — avg personal-loan debt per borrower (TransUnion, Q2-2026).
Narrower than this row's book.</t>
        </r>
      </text>
    </comment>
    <comment ref="X72" authorId="0" shapeId="0" xr:uid="{00000000-0006-0000-0100-00001D000000}">
      <text>
        <r>
          <rPr>
            <sz val="10"/>
            <rFont val="Arial"/>
            <family val="2"/>
          </rPr>
          <t>CHANGED — 12 → 10
OSFI register lists 10 loan companies (2 winding up).</t>
        </r>
      </text>
    </comment>
    <comment ref="AM72" authorId="0" shapeId="0" xr:uid="{00000000-0006-0000-0100-000059000000}">
      <text>
        <r>
          <rPr>
            <sz val="10"/>
            <rFont val="Arial"/>
            <family val="2"/>
          </rPr>
          <t>C$22,278 — avg non-mortgage debt per consumer (Equifax, Q1-2026).</t>
        </r>
      </text>
    </comment>
    <comment ref="AM76" authorId="0" shapeId="0" xr:uid="{00000000-0006-0000-0100-00005A000000}">
      <text>
        <r>
          <rPr>
            <sz val="10"/>
            <rFont val="Arial"/>
            <family val="2"/>
          </rPr>
          <t>≈€6,700 — derived: €32bn ÷ 4.8m households (AFM, 2024).</t>
        </r>
      </text>
    </comment>
    <comment ref="AM80" authorId="0" shapeId="0" xr:uid="{00000000-0006-0000-0100-00005B000000}">
      <text>
        <r>
          <rPr>
            <sz val="10"/>
            <rFont val="Arial"/>
            <family val="2"/>
          </rPr>
          <t>≈€7,800 — avg new consumption loan (FI, 2024).</t>
        </r>
      </text>
    </comment>
    <comment ref="AM82" authorId="0" shapeId="0" xr:uid="{00000000-0006-0000-0100-00005C000000}">
      <text>
        <r>
          <rPr>
            <sz val="10"/>
            <rFont val="Arial"/>
            <family val="2"/>
          </rPr>
          <t>€10,644 — avg personal loan drawn down (BPFI banks, 2025).</t>
        </r>
      </text>
    </comment>
    <comment ref="I85" authorId="0" shapeId="0" xr:uid="{00000000-0006-0000-0100-000017000000}">
      <text>
        <r>
          <rPr>
            <sz val="10"/>
            <rFont val="Arial"/>
            <family val="2"/>
          </rPr>
          <t>CHANGED
usd 149.87 → 173.99
Exchange rate fixed: 90 → 77.52 RUB/USD.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19" authorId="0" shapeId="0" xr:uid="{00000000-0006-0000-0200-000001000000}">
      <text>
        <r>
          <rPr>
            <sz val="10"/>
            <rFont val="Arial"/>
            <family val="2"/>
          </rPr>
          <t>CHANGED — 829 → 785 (46 licences cancelled Jul-2026).</t>
        </r>
      </text>
    </comment>
    <comment ref="F31" authorId="0" shapeId="0" xr:uid="{00000000-0006-0000-0200-000002000000}">
      <text>
        <r>
          <rPr>
            <sz val="10"/>
            <rFont val="Arial"/>
            <family val="2"/>
          </rPr>
          <t>CHANGED — 28 → 48 (regulator-cited sources).</t>
        </r>
      </text>
    </comment>
    <comment ref="G39" authorId="0" shapeId="0" xr:uid="{00000000-0006-0000-0200-000005000000}">
      <text>
        <r>
          <rPr>
            <sz val="10"/>
            <rFont val="Arial"/>
            <family val="2"/>
          </rPr>
          <t>CHANGED — date → 2024-04 (fact sheet date).</t>
        </r>
      </text>
    </comment>
    <comment ref="F71" authorId="0" shapeId="0" xr:uid="{00000000-0006-0000-0200-000003000000}">
      <text>
        <r>
          <rPr>
            <sz val="10"/>
            <rFont val="Arial"/>
            <family val="2"/>
          </rPr>
          <t>CHANGED — 13,000 → 5,346 (13,000 was a mailing list).</t>
        </r>
      </text>
    </comment>
    <comment ref="F72" authorId="0" shapeId="0" xr:uid="{00000000-0006-0000-0200-000004000000}">
      <text>
        <r>
          <rPr>
            <sz val="10"/>
            <rFont val="Arial"/>
            <family val="2"/>
          </rPr>
          <t>CHANGED — 12 → 10 (OSFI register; 2 winding up).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30" authorId="0" shapeId="0" xr:uid="{00000000-0006-0000-0300-000001000000}">
      <text>
        <r>
          <rPr>
            <sz val="10"/>
            <rFont val="Arial"/>
            <family val="2"/>
          </rPr>
          <t>CHANGED — 28 → 48 (regulator-cited).</t>
        </r>
      </text>
    </comment>
    <comment ref="G43" authorId="0" shapeId="0" xr:uid="{00000000-0006-0000-0300-000005000000}">
      <text>
        <r>
          <rPr>
            <sz val="10"/>
            <rFont val="Arial"/>
            <family val="2"/>
          </rPr>
          <t>CHANGED — date → 2024-04 (fact sheet date).</t>
        </r>
      </text>
    </comment>
    <comment ref="F45" authorId="0" shapeId="0" xr:uid="{00000000-0006-0000-0300-000002000000}">
      <text>
        <r>
          <rPr>
            <sz val="10"/>
            <rFont val="Arial"/>
            <family val="2"/>
          </rPr>
          <t>CHANGED — 12 → 10 (OSFI register).</t>
        </r>
      </text>
    </comment>
    <comment ref="F86" authorId="0" shapeId="0" xr:uid="{00000000-0006-0000-0300-000003000000}">
      <text>
        <r>
          <rPr>
            <sz val="10"/>
            <rFont val="Arial"/>
            <family val="2"/>
          </rPr>
          <t>CHANGED — 829 → 785 (licences cancelled).</t>
        </r>
      </text>
    </comment>
    <comment ref="F97" authorId="0" shapeId="0" xr:uid="{00000000-0006-0000-0300-000004000000}">
      <text>
        <r>
          <rPr>
            <sz val="10"/>
            <rFont val="Arial"/>
            <family val="2"/>
          </rPr>
          <t>CHANGED — 13,000 → 5,346 (mailing list, not companies).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27" authorId="0" shapeId="0" xr:uid="{00000000-0006-0000-0400-000002000000}">
      <text>
        <r>
          <rPr>
            <sz val="10"/>
            <rFont val="Arial"/>
            <family val="2"/>
          </rPr>
          <t>CHANGED — usd 60.18 → 53.26 (rate 40 → 45.19 TRY/USD).</t>
        </r>
      </text>
    </comment>
    <comment ref="J48" authorId="0" shapeId="0" xr:uid="{00000000-0006-0000-0400-000003000000}">
      <text>
        <r>
          <rPr>
            <sz val="10"/>
            <rFont val="Arial"/>
            <family val="2"/>
          </rPr>
          <t>CHANGED — usd 149.87 → 173.99 (rate 90 → 77.52 RUB/USD).</t>
        </r>
      </text>
    </comment>
    <comment ref="J76" authorId="0" shapeId="0" xr:uid="{00000000-0006-0000-0400-000004000000}">
      <text>
        <r>
          <rPr>
            <sz val="10"/>
            <rFont val="Arial"/>
            <family val="2"/>
          </rPr>
          <t>CHANGED — usd 2.39 → 2.84 (rate 10.9 → 9.2 TJS/USD).</t>
        </r>
      </text>
    </comment>
    <comment ref="J87" authorId="0" shapeId="0" xr:uid="{00000000-0006-0000-0400-000005000000}">
      <text>
        <r>
          <rPr>
            <sz val="10"/>
            <rFont val="Arial"/>
            <family val="2"/>
          </rPr>
          <t>CHANGED — usd 3.56 → 3.07 (rate 4.80 → 5.5677 LYD/USD).</t>
        </r>
      </text>
    </comment>
    <comment ref="G91" authorId="0" shapeId="0" xr:uid="{00000000-0006-0000-0400-000001000000}">
      <text>
        <r>
          <rPr>
            <sz val="10"/>
            <rFont val="Arial"/>
            <family val="2"/>
          </rPr>
          <t>CHANGED — 663bn → 769.5bn MGA (official IMF survey figure, 2023).</t>
        </r>
      </text>
    </comment>
    <comment ref="J93" authorId="0" shapeId="0" xr:uid="{00000000-0006-0000-0400-000006000000}">
      <text>
        <r>
          <rPr>
            <sz val="10"/>
            <rFont val="Arial"/>
            <family val="2"/>
          </rPr>
          <t>CHANGED — usd 8.38 → 0.95 (rate 250 → 2,212.70 YER/USD).</t>
        </r>
      </text>
    </comment>
  </commentList>
</comments>
</file>

<file path=xl/sharedStrings.xml><?xml version="1.0" encoding="utf-8"?>
<sst xmlns="http://schemas.openxmlformats.org/spreadsheetml/2006/main" count="7894" uniqueCount="2603">
  <si>
    <t>NBFC LOAN BOOK — VERIFIED WORKBOOK (README)</t>
  </si>
  <si>
    <t>Verification completed 2026-08-12. This page explains what was done, how to read the added columns, and what remains open.</t>
  </si>
  <si>
    <t>1. WHAT WAS DONE (VERIFICATION PATH)</t>
  </si>
  <si>
    <t>Step 1</t>
  </si>
  <si>
    <t>Internal consistency check on all 84 country rows: FX math (local amount ÷ USD value), cross-checks between Country_Master_Loan, Loan_Book_Detail, Country_Master_Institutions and Institution_Count_Detail. All sheets reconcile.</t>
  </si>
  <si>
    <t>Step 2</t>
  </si>
  <si>
    <t>Every verified row's outstanding-loan figure and institution count was checked against its cited source (fetched live, or corroborated via official/press sources when the site blocks robots).</t>
  </si>
  <si>
    <t>Step 3</t>
  </si>
  <si>
    <t>All USD conversions checked against actual exchange rates. Conversions more than 10% off a verifiable rate were corrected (e.g. Yemen was converted at the obsolete pre-war rate — ~9x overstated).</t>
  </si>
  <si>
    <t>Step 4</t>
  </si>
  <si>
    <t>Institution counts re-checked against live regulator registers (e.g. Nigeria updated for the July-2026 licence revocations; Egypt corrected to the FRA-cited 48).</t>
  </si>
  <si>
    <t>Step 5</t>
  </si>
  <si>
    <t>Senior decision applied: where a series includes mortgages/housing loans, the mortgage portion is deducted and the working is shown (see section 3 below). Where no pure NBFC series exists, bank or mixed series are accepted and labelled (column AG).</t>
  </si>
  <si>
    <t>Step 6</t>
  </si>
  <si>
    <t>Market-profile data added for the top ~26 markets: active borrowers, average ticket size and delinquency ratio per country (columns AH–AP).</t>
  </si>
  <si>
    <t>Step 7</t>
  </si>
  <si>
    <t>Every change is documented three ways: an Excel comment on the changed cell (old → new value, reason, source link), a plain-language note in column AC, and a full entry in the Change_Log sheet.</t>
  </si>
  <si>
    <t>2. COLUMN AC — VERIFICATION COMMENTS (5 categories)</t>
  </si>
  <si>
    <t>OK</t>
  </si>
  <si>
    <t>Number checked against its source and correct. No change made to the original data.</t>
  </si>
  <si>
    <t>FLAG-SOURCE</t>
  </si>
  <si>
    <t>Data verified as correct, but the citation is weak (press article, mirror copy, or unofficial host).</t>
  </si>
  <si>
    <t>FLAG-SCOPE</t>
  </si>
  <si>
    <t>Data verified as correct, but the loan amount is not a pure NBFC/non-bank figure (bank or mixed series). See column AG for the classification.</t>
  </si>
  <si>
    <t>CHANGED</t>
  </si>
  <si>
    <t>The value was wrong (or adjusted per the mortgage policy) and has been changed. The comment names the exact cell(s); hover over those cells for old → new values, reason and source. AC cell is highlighted orange.</t>
  </si>
  <si>
    <t>PENDING</t>
  </si>
  <si>
    <t>No usable source existed in the original file; row left blank and excluded from totals (Algeria, Sudan, Lebanon, Iraq, Iran).</t>
  </si>
  <si>
    <t>Grey cell</t>
  </si>
  <si>
    <t>Not a published figure — a proxy or an estimate. The quality column beside each number says which, and the basis column says how it was worked out.</t>
  </si>
  <si>
    <t>3. KEY COLUMNS (added during verification)</t>
  </si>
  <si>
    <t>AC</t>
  </si>
  <si>
    <t>Verification comment for every row (the 5 categories above).</t>
  </si>
  <si>
    <t>AD</t>
  </si>
  <si>
    <t>USD value with every country converted at ONE current FX date (10-Aug-2026). Column I converts each country at its own data date. Pick one or the other for the map — never mix.</t>
  </si>
  <si>
    <t>AE</t>
  </si>
  <si>
    <t>Gross outstanding amount INCLUDING mortgage (local currency) — only filled for the 6 rows whose source series contains housing loans (PH, KR, TW, BH, PS, MU). Blue = input from the cited source.</t>
  </si>
  <si>
    <t>AF</t>
  </si>
  <si>
    <t>Mortgage portion (local currency) for those same 6 rows. Blue = input from the cited source. For those 6 rows the main loan column G is a live formula: G = AE − AF, so the deduction is visible.</t>
  </si>
  <si>
    <t>AG</t>
  </si>
  <si>
    <t>Lender-type of each loan series: pure non-bank (green) / pure bank (blue) / mixed bank+non-bank (yellow) / n/a pending.</t>
  </si>
  <si>
    <t>AH–AL</t>
  </si>
  <si>
    <t>Active borrowers: count, quality (Official / Proxy / Estimate), what is counted, date, source.</t>
  </si>
  <si>
    <t>AM–AN</t>
  </si>
  <si>
    <t>Average loan size in local currency, plus its quality. Some are published figures, some are loans ÷ borrowers.</t>
  </si>
  <si>
    <t>AO–AS</t>
  </si>
  <si>
    <t>Delinquency rate, its quality, and the basis (30-day / 60-day / 90-day). Only compare countries on the same basis.</t>
  </si>
  <si>
    <t>4. OTHER SHEETS</t>
  </si>
  <si>
    <t>Change_Log</t>
  </si>
  <si>
    <t>Every change with date, cell, country, old value, new value, reason and source URL. Kept for audit; can be deleted before external sharing if desired.</t>
  </si>
  <si>
    <t>Loan_Book_Detail etc.</t>
  </si>
  <si>
    <t>Original detail sheets — kept in sync with every change (mirror notes in their qc/notes columns).</t>
  </si>
  <si>
    <t>QA_Checks</t>
  </si>
  <si>
    <t>Running log of each verification round.</t>
  </si>
  <si>
    <t>5. OPEN ITEMS</t>
  </si>
  <si>
    <t>Philippines</t>
  </si>
  <si>
    <t>The company count (2,748) comes from an official list that blocks automated download — someone needs to open the list in a browser and count the rows to confirm it.</t>
  </si>
  <si>
    <t>Taiwan</t>
  </si>
  <si>
    <t>RESOLVED: exact house-repair figure (TWD 30,878M) obtained by direct inspection of the CBC xls and added to the housing deduction — all housing content now stripped.</t>
  </si>
  <si>
    <t>Oman</t>
  </si>
  <si>
    <t>The loan figure includes housing loans, but Oman publishes no breakdown — so nothing could be deducted. Treat this row as slightly overstated.</t>
  </si>
  <si>
    <t>5 empty countries</t>
  </si>
  <si>
    <t>Algeria, Sudan, Lebanon, Iraq and Iran have no usable data — left blank on purpose.</t>
  </si>
  <si>
    <t>Borrowers/DPD data</t>
  </si>
  <si>
    <t>All countries now researched. Where a cell is blank, the basis column states exactly why (regulator publishes nothing, data is paywalled, etc.). DPD codes: only ~7 countries publish a true 30-day ratio; most are 90-day/NPL.</t>
  </si>
  <si>
    <t>For the map</t>
  </si>
  <si>
    <t>Pick ONE USD column (I or AD) and use it for every country. Also consider showing each country's data date, since they range from 2023 to 2026.</t>
  </si>
  <si>
    <t>country_code</t>
  </si>
  <si>
    <t>country_name_en</t>
  </si>
  <si>
    <t>country_name_zh</t>
  </si>
  <si>
    <t>refresh_status</t>
  </si>
  <si>
    <t>recommended_scope</t>
  </si>
  <si>
    <t>recommended_metric</t>
  </si>
  <si>
    <t>outstanding_local</t>
  </si>
  <si>
    <t>currency</t>
  </si>
  <si>
    <t>usd_bn_indicative</t>
  </si>
  <si>
    <t>as_of</t>
  </si>
  <si>
    <t>quality</t>
  </si>
  <si>
    <t>source_url</t>
  </si>
  <si>
    <t>evidence_file</t>
  </si>
  <si>
    <t>prior_json_usd_bn</t>
  </si>
  <si>
    <t>notes</t>
  </si>
  <si>
    <t>development_label_imf</t>
  </si>
  <si>
    <t>imf_weo_group</t>
  </si>
  <si>
    <t>wb_income_group</t>
  </si>
  <si>
    <t>wb_income_code</t>
  </si>
  <si>
    <t>wb_region</t>
  </si>
  <si>
    <t>oecd_member</t>
  </si>
  <si>
    <t>class_tag</t>
  </si>
  <si>
    <t>classification_notes</t>
  </si>
  <si>
    <t>institution_count</t>
  </si>
  <si>
    <t>institution_type</t>
  </si>
  <si>
    <t>institution_as_of</t>
  </si>
  <si>
    <t>institution_quality</t>
  </si>
  <si>
    <t>institution_source_url</t>
  </si>
  <si>
    <t>verification_comments_20260811</t>
  </si>
  <si>
    <t>usd_bn_current_fx_20260811</t>
  </si>
  <si>
    <t>gross_outstanding_incl_mortgage_local</t>
  </si>
  <si>
    <t>mortgage_portion_local</t>
  </si>
  <si>
    <t>lender_type_classification</t>
  </si>
  <si>
    <t>borrowers_count</t>
  </si>
  <si>
    <t>borrowers_quality</t>
  </si>
  <si>
    <t>borrowers_basis</t>
  </si>
  <si>
    <t>borrowers_as_of</t>
  </si>
  <si>
    <t>borrowers_source_url</t>
  </si>
  <si>
    <t>avg_ticket_size_local</t>
  </si>
  <si>
    <t>ticket_quality</t>
  </si>
  <si>
    <t>dpd_ratio</t>
  </si>
  <si>
    <t>dpd_quality</t>
  </si>
  <si>
    <t>dpd_basis</t>
  </si>
  <si>
    <t>dpd_as_of</t>
  </si>
  <si>
    <t>dpd_source_url</t>
  </si>
  <si>
    <t>IN</t>
  </si>
  <si>
    <t>India</t>
  </si>
  <si>
    <t>印度</t>
  </si>
  <si>
    <t>VERIFIED</t>
  </si>
  <si>
    <t>Non-bank NBFC loans &amp; advances (total)</t>
  </si>
  <si>
    <t>NBFC Loans and Advances (gross)</t>
  </si>
  <si>
    <t>INR</t>
  </si>
  <si>
    <t>2025-03</t>
  </si>
  <si>
    <t>official</t>
  </si>
  <si>
    <t>https://www.rbi.org.in/Scripts/PublicationsView.aspx?id=23641</t>
  </si>
  <si>
    <r>
      <rPr>
        <sz val="11"/>
        <color theme="1"/>
        <rFont val="Calibri"/>
        <family val="2"/>
        <charset val="1"/>
      </rPr>
      <t>Prior JSON≈508.6bn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verified≈508.6bn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</si>
  <si>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Developing/Emerging</t>
  </si>
  <si>
    <t>Emerging market and developing economy</t>
  </si>
  <si>
    <t>Lower middle income</t>
  </si>
  <si>
    <t>LMC</t>
  </si>
  <si>
    <t>South Asia</t>
  </si>
  <si>
    <t>No</t>
  </si>
  <si>
    <t>Emerging market &amp; developing economy|WB Lower middle income|OECD No</t>
  </si>
  <si>
    <t>NBFC (Upper + Middle Layer supervisory sample)</t>
  </si>
  <si>
    <t>2025-03-31</t>
  </si>
  <si>
    <t>OK: matches RBI source. True non-bank data.</t>
  </si>
  <si>
    <t>pure non-bank</t>
  </si>
  <si>
    <t>Estimate</t>
  </si>
  <si>
    <t>Estimate: retail ≈45% of book ÷ ~Rs200k blended ticket.</t>
  </si>
  <si>
    <t>estimate — see col AJ</t>
  </si>
  <si>
    <t>https://www.pninews.com/micro-finance-industry-network-mfins-57th-edition-of-micrometer-for-q4-fy-25-26-based-on-the-industry-position-as-on-march-31-2026/</t>
  </si>
  <si>
    <t>Proxy</t>
  </si>
  <si>
    <t>Official</t>
  </si>
  <si>
    <t>NPL90 — RBI NBFC GNPA.</t>
  </si>
  <si>
    <t>https://www.rbi.org.in/Scripts/PublicationsView.aspx?id=23641 ; https://www.crifhighmark.com/media/5720/how-india-lends-sept-2025.pdf</t>
  </si>
  <si>
    <t>CN</t>
  </si>
  <si>
    <t>China</t>
  </si>
  <si>
    <t>中国</t>
  </si>
  <si>
    <t>Non-bank personal consumer loans (consumer finance cos.)</t>
  </si>
  <si>
    <t>Consumer finance companies — loan outstanding</t>
  </si>
  <si>
    <t>CNY</t>
  </si>
  <si>
    <t>2025-12</t>
  </si>
  <si>
    <t>semi-official</t>
  </si>
  <si>
    <t>https://en.people.cn/n3/2026/0731/c90000-20483849.html</t>
  </si>
  <si>
    <r>
      <rPr>
        <sz val="11"/>
        <color theme="1"/>
        <rFont val="Calibri"/>
        <family val="2"/>
        <charset val="1"/>
      </rPr>
      <t>Prior JSON≈199.3bn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verified≈211.9bn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</si>
  <si>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Upper middle income</t>
  </si>
  <si>
    <t>UMC</t>
  </si>
  <si>
    <t>East Asia &amp; Pacific</t>
  </si>
  <si>
    <t>Emerging market &amp; developing economy|WB Upper middle income|OECD No</t>
  </si>
  <si>
    <t>Microloan companies</t>
  </si>
  <si>
    <t>2025-09-30</t>
  </si>
  <si>
    <t>https://www.pbc.gov.cn/diaochatongjisi/116219/116225/5885724/index.html</t>
  </si>
  <si>
    <t>FLAG-SOURCE: loan figure from press, not the regulator. Count (4,863 microloan companies) is a different group than the consumer-finance companies behind the loan figure.</t>
  </si>
  <si>
    <t>Estimate: book ÷ estimated ticket.</t>
  </si>
  <si>
    <t>https://english.news.cn/20260730/12959e2cc7f24415aac130e380dbfb24/c.html</t>
  </si>
  <si>
    <t>NPL90 — consumer finance companies (CBA).</t>
  </si>
  <si>
    <t>2024-12</t>
  </si>
  <si>
    <t>https://www.yemacaijing.com/Index/view/id/87840.html</t>
  </si>
  <si>
    <t>ID</t>
  </si>
  <si>
    <t>Indonesia</t>
  </si>
  <si>
    <t>印度尼西亚</t>
  </si>
  <si>
    <t>Non-bank P2P outstanding (consumer + productive)</t>
  </si>
  <si>
    <t>Fintech P2P Lending outstanding</t>
  </si>
  <si>
    <t>IDR</t>
  </si>
  <si>
    <t>2026-03</t>
  </si>
  <si>
    <t>https://iru.ojk.go.id/iru/Website/ArticleList/View/1010_Financing_Institutions,_Venture_Capital,_Fintech_P2P_Lending_and_Micro_Finance_Industry_Update_March_2026</t>
  </si>
  <si>
    <r>
      <rPr>
        <sz val="11"/>
        <color theme="1"/>
        <rFont val="Calibri"/>
        <family val="2"/>
        <charset val="1"/>
      </rPr>
      <t>Prior JSON≈28.0bn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verified≈5.6bn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</si>
  <si>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Finance / multifinance companies</t>
  </si>
  <si>
    <t>2025-06-30</t>
  </si>
  <si>
    <t>https://ojk.go.id/id/kanal/iknb/data-dan-statistik/direktori/lembaga-pembiayaan/Pages/Direktori-Lembaga-Pembiayaan-dan-PMV-Juni-2025.aspx</t>
  </si>
  <si>
    <t>OK: matches OJK source. True non-bank (P2P).</t>
  </si>
  <si>
    <t>Active borrower accounts (OJK).</t>
  </si>
  <si>
    <t>2025-08</t>
  </si>
  <si>
    <t>https://www.cnbcindonesia.com/research/20260108122244-128-700661/10-warga-provinsi-ini-paling-doyan-pinjam-uang-lewat-pindar</t>
  </si>
  <si>
    <t>NPL90 — TWP90, OJK standard.</t>
  </si>
  <si>
    <t>https://infobanknews.com/utang-pindar-warga-ri-tembus-rp10103-triliun-di-maret-2026-naik-2625-persen</t>
  </si>
  <si>
    <t>TH</t>
  </si>
  <si>
    <t>Thailand</t>
  </si>
  <si>
    <t>泰国</t>
  </si>
  <si>
    <t>Non-bank personal loans (supervised)</t>
  </si>
  <si>
    <t>Personal Loan under Supervision — Non-Banks outstanding</t>
  </si>
  <si>
    <t>THB</t>
  </si>
  <si>
    <t>2026-06</t>
  </si>
  <si>
    <t>https://app.bot.or.th/BTWS_STAT/statistics/BOTWEBSTAT.aspx?language=ENG&amp;reportID=1010</t>
  </si>
  <si>
    <r>
      <rPr>
        <sz val="11"/>
        <color theme="1"/>
        <rFont val="Calibri"/>
        <family val="2"/>
        <charset val="1"/>
      </rPr>
      <t>Prior JSON≈19.2bn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verified≈19.3bn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</si>
  <si>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Nano finance providers (banks + non-banks)</t>
  </si>
  <si>
    <t>2025-06</t>
  </si>
  <si>
    <t>https://app.bot.or.th/BTWS_STAT/statistics/ReportPage.aspx?language=eng&amp;reportID=876</t>
  </si>
  <si>
    <t>OK: matches BOT source. True non-bank.</t>
  </si>
  <si>
    <t>Active loan accounts (BOT).</t>
  </si>
  <si>
    <t>https://app.bot.or.th/BTWS_STAT/statistics/BOTWEBSTAT.aspx?reportID=907&amp;language=ENG</t>
  </si>
  <si>
    <t>NPL90 — over 3 months (BOT).</t>
  </si>
  <si>
    <t>MY</t>
  </si>
  <si>
    <t>Malaysia</t>
  </si>
  <si>
    <t>马来西亚</t>
  </si>
  <si>
    <t>Personal loans total (banking system – personal uses)</t>
  </si>
  <si>
    <t>Banking System Household Loan — Personal Uses</t>
  </si>
  <si>
    <t>MYR</t>
  </si>
  <si>
    <t>https://www.bnm.gov.my/documents/20124/22576999/1.19.6.xlsx</t>
  </si>
  <si>
    <r>
      <rPr>
        <sz val="11"/>
        <color theme="1"/>
        <rFont val="Calibri"/>
        <family val="2"/>
        <charset val="1"/>
      </rPr>
      <t>Prior JSON≈47.3bn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verified≈29.4bn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</si>
  <si>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Development financial institutions (DFIs)</t>
  </si>
  <si>
    <t>2026</t>
  </si>
  <si>
    <t>https://corpwb01.bnm.gov.my/list-of-development-financial-institutions</t>
  </si>
  <si>
    <t>FLAG-SCOPE: this is bank lending, not non-bank. VALUE VERIFIED BY DIRECT INSPECTION — Kimderson opened BNM Table 1.19.6 (Jun-2026): Personal Uses total RM 120,580.07M matches the file exactly. (Count of 6 DFIs confirmed at bnm.gov.my/dfi-overview.)</t>
  </si>
  <si>
    <t>pure bank</t>
  </si>
  <si>
    <t>Proxy: 14.5% of adults borrow formally (Findex 2024).</t>
  </si>
  <si>
    <t>2024 (estimate)</t>
  </si>
  <si>
    <t>https://api.worldbank.org/v2/sources/28/country/MY/series/fin22a/data?format=json (World Bank Global Findex, fin22a) + SP.POP series for adults 15+</t>
  </si>
  <si>
    <t>Proxy: whole-household impaired loans (BNM).</t>
  </si>
  <si>
    <t>https://www.bnm.gov.my/documents/20124/21185035/fsr2025h2_en_ch1b.pdf</t>
  </si>
  <si>
    <t>PH</t>
  </si>
  <si>
    <t>菲律宾</t>
  </si>
  <si>
    <t>Consumer loans (banks)</t>
  </si>
  <si>
    <t>Consumer loans excl. residential real estate (net, U/C/Thrift banks)</t>
  </si>
  <si>
    <t>PHP</t>
  </si>
  <si>
    <t>2025-09</t>
  </si>
  <si>
    <t>https://www.bsp.gov.ph/Media_And_Research/Publications/QUBS-2025-Q3.pdf</t>
  </si>
  <si>
    <r>
      <rPr>
        <sz val="11"/>
        <color theme="1"/>
        <rFont val="Calibri"/>
        <family val="2"/>
        <charset val="1"/>
      </rPr>
      <t>Prior JSON≈12.0bn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verified≈48.0bn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</si>
  <si>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AMLC registration-active lending &amp; financing companies</t>
  </si>
  <si>
    <t>2026-01-31</t>
  </si>
  <si>
    <t>http://www.amlc.gov.ph/images/PDFs/Main/SEC310126.pdf</t>
  </si>
  <si>
    <t>CHANGED (cells G7=AE7-AF7, I7, AF7): VERIFIED BY DIRECT INSPECTION — Kimderson opened BSP QUBS Q3-2025: total ₱3,537.0bn confirmed; housing share 33.3% from the SAME document → mortgage 1,177.8bn, net 2,359.2bn PHP ($40.68bn). (Cross-check: BSP's RE-exposure report shows 1,188bn — within 1%.) Scope: bank lending, accepted by decision. Count 2,748 (AMLC registration-active lending &amp; financing companies) still needs the manual AMLC tally.</t>
  </si>
  <si>
    <t>https://www.bworldonline.com/banking-finance/2025/08/13/691116/digital-lending-boom-drives-growth-in-phl-credit-data/</t>
  </si>
  <si>
    <t>NPL90 (BSP). Housing 6.4%, cards 4.8%, motor 4.9%, salary 4.6%.</t>
  </si>
  <si>
    <t>BSP QUBS Q3-2025 (direct inspection); https://www.bsp.gov.ph/Media_And_Research/Publications/QUBS-2025-Q3.pdf</t>
  </si>
  <si>
    <t>VN</t>
  </si>
  <si>
    <t>Vietnam</t>
  </si>
  <si>
    <t>越南</t>
  </si>
  <si>
    <t>Finance companies – living-purpose/consumer loans</t>
  </si>
  <si>
    <t>Finance companies — consumer lending outstanding (PVNCĐS)</t>
  </si>
  <si>
    <t>VND</t>
  </si>
  <si>
    <t>2024-09</t>
  </si>
  <si>
    <t>https://div.gov.vn/da-dang-hoa-va-so-hoa-san-pham-cho-vay-tieu-dung-gop-phan-ngan-ngua-tin-dung-den</t>
  </si>
  <si>
    <r>
      <rPr>
        <sz val="11"/>
        <color theme="1"/>
        <rFont val="Calibri"/>
        <family val="2"/>
        <charset val="1"/>
      </rPr>
      <t>No citable official/semi-official absolute amount this round; amount left blank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</si>
  <si>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Finance companies</t>
  </si>
  <si>
    <t>2025-03-30</t>
  </si>
  <si>
    <t>https://sbv.gov.vn/en/finance-companies</t>
  </si>
  <si>
    <t>OK: matches SBV source. True non-bank. (Data from Sep-2024, oldest big market.)</t>
  </si>
  <si>
    <t>Customers served (SBV, 2022 — old).</t>
  </si>
  <si>
    <t>2022-10</t>
  </si>
  <si>
    <t>https://baochinhphu.vn/tai-chinh-tieu-dung-kenh-dan-von-hieu-qua-cho-nguoi-yeu-the-102221018173752995.htm</t>
  </si>
  <si>
    <t>NPL90 — finance companies (FiinGroup).</t>
  </si>
  <si>
    <t>2025</t>
  </si>
  <si>
    <t>https://baomoi.com/cho-vay-tieu-dung-but-toc-no-xau-giam-manh-tu-muc-dinh-c55310231.epi</t>
  </si>
  <si>
    <t>JP</t>
  </si>
  <si>
    <t>Japan</t>
  </si>
  <si>
    <t>日本</t>
  </si>
  <si>
    <t>Non-bank personal loans (moneylenders, consumer)</t>
  </si>
  <si>
    <t>Moneylenders — consumer-direction loan outstanding</t>
  </si>
  <si>
    <t>JPY</t>
  </si>
  <si>
    <t>https://www.fsa.go.jp/status/kasikin/20251128/01.pdf</t>
  </si>
  <si>
    <t>nbfc-evidence/2026-08-10/JP_FSA_kasikin_202503.pdf</t>
  </si>
  <si>
    <r>
      <rPr>
        <sz val="11"/>
        <color theme="1"/>
        <rFont val="Calibri"/>
        <family val="2"/>
        <charset val="1"/>
      </rPr>
      <t>Prior JSON≈274.8bn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verified≈53.9bn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</si>
  <si>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Developed</t>
  </si>
  <si>
    <t>Advanced economy</t>
  </si>
  <si>
    <t>High income</t>
  </si>
  <si>
    <t>HIC</t>
  </si>
  <si>
    <t>Yes</t>
  </si>
  <si>
    <t>Advanced economy|WB High income|OECD Yes</t>
  </si>
  <si>
    <t>Moneylenders</t>
  </si>
  <si>
    <t>https://www.fsa.go.jp/status/kasikin/20250807/index.html</t>
  </si>
  <si>
    <t>OK: matches FSA source (moneylenders). True non-bank.</t>
  </si>
  <si>
    <t>People with moneylender balances (JICC).</t>
  </si>
  <si>
    <t>https://www.jicc.co.jp/aboutus/credit-info/statistics</t>
  </si>
  <si>
    <t>Proxy: developed-Asia peer median.</t>
  </si>
  <si>
    <t>estimate — see col AQ</t>
  </si>
  <si>
    <t>(peer values from rows with published data)</t>
  </si>
  <si>
    <t>KR</t>
  </si>
  <si>
    <t>South Korea</t>
  </si>
  <si>
    <t>韩国</t>
  </si>
  <si>
    <t>Household loans total</t>
  </si>
  <si>
    <t>Household loans excl. housing-secured (net, all lenders)</t>
  </si>
  <si>
    <t>KRW</t>
  </si>
  <si>
    <t>https://www.bok.or.kr/eng/bbs/E0000634/view.do?depth=400069&amp;menuNo=400069&amp;nttId=10098043&amp;oldMenuNo=400007&amp;programType=newsDataEng&amp;relate=Y</t>
  </si>
  <si>
    <r>
      <rPr>
        <sz val="11"/>
        <color theme="1"/>
        <rFont val="Calibri"/>
        <family val="2"/>
        <charset val="1"/>
      </rPr>
      <t>Prior JSON≈155.0bn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verified≈1352.0bn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</si>
  <si>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Non-card specialized credit finance companies</t>
  </si>
  <si>
    <t>2025-12-31</t>
  </si>
  <si>
    <t>https://heraldk.com/2026/03/18/%ec%88%98%ec%88%98%eb%a3%8c-%ec%88%98%ec%9d%b5-%ec%95%85%ed%99%94%ec%97%90-%ec%a7%80%eb%82%9c%ed%95%b4-%ec%b9%b4%eb%93%9c%ec%82%ac-%ec%88%9c%ec%9d%b4%ec%9d%b5-8-9-%ea%b0%90%ec%86%8c/</t>
  </si>
  <si>
    <t>CHANGED (cells G10=AE10-AF10, I10): mortgage deducted per senior decision. Gross 1,865.8tn − mortgage 1,178.6tn = net 687.2tn KRW ($497.97bn); exact BOK split, end-Mar-2026 (preliminary). Scope: all lenders (banks + non-banks), accepted by decision. Count citation still press-hosted. Source: https://www.newspim.com/news/view/20260519000509 (BOK household credit release 2026-05-19)</t>
  </si>
  <si>
    <t>mixed</t>
  </si>
  <si>
    <t>Distinct borrowers, all lenders (BOK). Ticket = ex-mortgage loans / all borrowers.</t>
  </si>
  <si>
    <t>2025-Q3</t>
  </si>
  <si>
    <t>https://www.bok.or.kr/eng/bbs/E0000634/view.do?nttId=10096591&amp;menuNo=400069</t>
  </si>
  <si>
    <t>DPD30 — 1-month+, BANKS only.</t>
  </si>
  <si>
    <t>https://en.sedaily.com/finance/2026/05/26/korean-bank-delinquency-rate-hits-10-year-high-in-march</t>
  </si>
  <si>
    <t>TW</t>
  </si>
  <si>
    <t>中国台湾</t>
  </si>
  <si>
    <t>Consumer loans subtotal (all banks)</t>
  </si>
  <si>
    <t>Consumer loans excl. housing (house-purchase + house-repair)</t>
  </si>
  <si>
    <t>TWD</t>
  </si>
  <si>
    <r>
      <rPr>
        <sz val="11"/>
        <color theme="1"/>
        <rFont val="Calibri"/>
        <family val="2"/>
        <charset val="1"/>
      </rPr>
      <t>https://www.cbc.gov.tw/public/data/OpenData/</t>
    </r>
    <r>
      <rPr>
        <sz val="11"/>
        <color theme="1"/>
        <rFont val="Noto Sans CJK SC"/>
        <family val="2"/>
      </rPr>
      <t>經研處</t>
    </r>
    <r>
      <rPr>
        <sz val="11"/>
        <color theme="1"/>
        <rFont val="Calibri"/>
        <family val="2"/>
        <charset val="1"/>
      </rPr>
      <t>/EF99M01.csv</t>
    </r>
  </si>
  <si>
    <r>
      <rPr>
        <sz val="11"/>
        <color theme="1"/>
        <rFont val="Calibri"/>
        <family val="2"/>
        <charset val="1"/>
      </rPr>
      <t>Prior JSON≈85.0bn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verified≈425.9bn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</si>
  <si>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r>
      <rPr>
        <sz val="11"/>
        <color theme="1"/>
        <rFont val="Calibri"/>
        <family val="2"/>
        <charset val="1"/>
      </rPr>
      <t>East Asia &amp; Pacific (IMF/geo; WB</t>
    </r>
    <r>
      <rPr>
        <sz val="11"/>
        <color theme="1"/>
        <rFont val="Noto Sans CJK SC"/>
        <family val="2"/>
      </rPr>
      <t>无独立经济体条目</t>
    </r>
    <r>
      <rPr>
        <sz val="11"/>
        <color theme="1"/>
        <rFont val="Calibri"/>
        <family val="2"/>
        <charset val="1"/>
      </rPr>
      <t>)</t>
    </r>
  </si>
  <si>
    <t>Advanced economy|WB Income n/a|OECD No</t>
  </si>
  <si>
    <t>世界银行国家API无台湾独立条目；收入分组留空，IMF列为Advanced</t>
  </si>
  <si>
    <t>Bills finance companies</t>
  </si>
  <si>
    <t>https://www.banking.gov.tw/websitedowndoc?file=chbanking%2F202510161620380.pdf&amp;filedisplay=%E5%B0%88%E7%87%9F%E5%8F%8A%E5%85%BC%E7%87%9F%E7%A5%A8%E5%88%B8%E5%95%86%E5%AE%B6%E6%95%B8%E7%B5%B1%E8%A8%88.pdf</t>
  </si>
  <si>
    <t>CHANGED (cells G11=AE11-AF11, I11, AF11): VERIFIED BY DIRECT INSPECTION — Kimderson opened CBC's Jun-2026 xls: subtotal 13,843,306M and house-purchase 11,812,652M both match; exact house-repair 30,878M now also deducted (AF = 11,843,530M, breakdown in hover comment) → net 1,999,776M TWD ($61.53bn). All housing content stripped; open item closed. Scope: bank lending, accepted by decision.</t>
  </si>
  <si>
    <t>Proxy: book ÷ avg balance per borrower (JCIC).</t>
  </si>
  <si>
    <t>https://udn.com/news/story/7239/8258066</t>
  </si>
  <si>
    <t>NPL90 — all bank loans (FSC).</t>
  </si>
  <si>
    <t>2026-04</t>
  </si>
  <si>
    <t>https://www.fsc.gov.tw/en/home.jsp?id=54&amp;parentpath=0%2C2&amp;mcustomize=multimessage_view.jsp&amp;dataserno=202606110004&amp;dtable=News</t>
  </si>
  <si>
    <t>BD</t>
  </si>
  <si>
    <t>Bangladesh</t>
  </si>
  <si>
    <t>孟加拉</t>
  </si>
  <si>
    <t>Finance companies loans &amp; advances</t>
  </si>
  <si>
    <t>Finance Companies total loans/advances</t>
  </si>
  <si>
    <t>BDT</t>
  </si>
  <si>
    <t>2026-03-31</t>
  </si>
  <si>
    <t>https://www.bb.org.bd/pub/quaterly/cmsme/cmsme_jan_mar%202026.pdf</t>
  </si>
  <si>
    <t>MRA-licensed microfinance institutions</t>
  </si>
  <si>
    <t>https://www.bb.org.bd/pub/special/sp2025-02.pdf</t>
  </si>
  <si>
    <t>OK: matches Bangladesh Bank source. Non-bank.</t>
  </si>
  <si>
    <t>https://fred.stlouisfed.org/series/BGDFCNMNUM</t>
  </si>
  <si>
    <t>NPL90 — central-bank classified loans. Sector distressed.</t>
  </si>
  <si>
    <t>https://www.tbsnews.net/economy/banking/nbfi-distress-deepens-npls-surge-37-total-loans-september-1337701</t>
  </si>
  <si>
    <t>PK</t>
  </si>
  <si>
    <t>Pakistan</t>
  </si>
  <si>
    <t>巴基斯坦</t>
  </si>
  <si>
    <t>Consumer financing (banking sector)</t>
  </si>
  <si>
    <t>Consumer financing outstanding (banking sector, incl. house building)</t>
  </si>
  <si>
    <t>PKR</t>
  </si>
  <si>
    <t>https://www.sbp.org.pk/assets/document/The_Banking_Sector_Stability_2025.pdf</t>
  </si>
  <si>
    <r>
      <rPr>
        <sz val="11"/>
        <color theme="1"/>
        <rFont val="Calibri"/>
        <family val="2"/>
        <charset val="1"/>
      </rPr>
      <t>Prior JSON≈1.36bn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verified≈3.7bn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</si>
  <si>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Middle East, North Africa, Afghanistan &amp; Pakistan</t>
  </si>
  <si>
    <t>Lending NBFCs (incl. Modarabas)</t>
  </si>
  <si>
    <t>https://www.secp.gov.pk/data-and-statistics/nbfcs/</t>
  </si>
  <si>
    <t>CHANGED (cell G13, I13): reverted to GROSS 998bn PKR ($3.60bn) per Kimderson — the mortgage subtraction was removed because the house-building split (220bn) is only a press-quoted proxy and SBP no longer publishes the purpose table. Figure still INCLUDES house-building loans (~22%). Gross is yellow = proxy (validated against SBP EasyData series). FLAG-SCOPE: bank lending, accepted by decision.</t>
  </si>
  <si>
    <t>Proxy: 5.7% of adults (Findex 2024).</t>
  </si>
  <si>
    <t>https://api.worldbank.org/v2/sources/28/country/PK/series/fin22a/data?format=json (World Bank Global Findex, fin22a) + SP.POP series for adults 15+</t>
  </si>
  <si>
    <t>NPL90 (SBP). Cards 1.8%, auto 1.7%, personal 7.8%.</t>
  </si>
  <si>
    <t>https://www.sbp.org.pk/assets/document/publications/H1CY25.pdf (Annexure C1)</t>
  </si>
  <si>
    <t>LK</t>
  </si>
  <si>
    <t>Sri Lanka</t>
  </si>
  <si>
    <t>斯里兰卡</t>
  </si>
  <si>
    <t>Licensed finance companies loans &amp; advances (net)</t>
  </si>
  <si>
    <t>LFC Loans &amp; Advances (Net)</t>
  </si>
  <si>
    <t>LKR</t>
  </si>
  <si>
    <t>https://www.cbsl.gov.lk/sites/default/files/cbslweb_documents/publications/financial_soundness_indicators_2026_q1.pdf</t>
  </si>
  <si>
    <t>nbfc-evidence/2026-08-10/LK_CBSL_FSI_2026Q1.pdf</t>
  </si>
  <si>
    <t>Licensed finance companies</t>
  </si>
  <si>
    <t>2026-08-10</t>
  </si>
  <si>
    <t>https://www.cbsl.gov.lk/en/authorized-financial-institutions/licensed-finance-companies</t>
  </si>
  <si>
    <t>OK: matches CBSL source. Non-bank.</t>
  </si>
  <si>
    <t>https://www.cbsl.gov.lk/en/news/financial-sector-performance-in-the-q1-2026</t>
  </si>
  <si>
    <t>NPL90 — Stage-3, finance companies (CBSL).</t>
  </si>
  <si>
    <t>MX</t>
  </si>
  <si>
    <t>Mexico</t>
  </si>
  <si>
    <t>墨西哥</t>
  </si>
  <si>
    <t>Commercial bank personal loans</t>
  </si>
  <si>
    <t>Personal loans (commercial banks)</t>
  </si>
  <si>
    <t>MXN</t>
  </si>
  <si>
    <t>https://www.banxico.org.mx/publicaciones-y-prensa/agregados-monetarios-y-actividad-financiera/%7B44975FD1-D9A4-7733-F717-F2CBB857196F%7D.pdf</t>
  </si>
  <si>
    <r>
      <rPr>
        <sz val="11"/>
        <color theme="1"/>
        <rFont val="Calibri"/>
        <family val="2"/>
        <charset val="1"/>
      </rPr>
      <t>Prior JSON≈40.6bn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verified≈16.1bn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</si>
  <si>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Latin America &amp; Caribbean</t>
  </si>
  <si>
    <t>Emerging market &amp; developing economy|WB Upper middle income|OECD Yes</t>
  </si>
  <si>
    <t>SOFOM E.N.R. (in operation)</t>
  </si>
  <si>
    <t>2025-H1</t>
  </si>
  <si>
    <t>https://credenz.com.mx/wp-content/uploads/2020/09/Periodo_Enero_Junio_2025.pdf</t>
  </si>
  <si>
    <t>FLAG-SCOPE: bank personal loans, not non-bank. (Count document is a mirror copy — cite CNBV directly.)</t>
  </si>
  <si>
    <t>Loan contracts, not people (Banxico).</t>
  </si>
  <si>
    <t>2025-02</t>
  </si>
  <si>
    <t>https://www.banxico.org.mx/publicaciones-y-prensa/rib-creditos-personales/%7BDB9C5B28-184B-A781-CB30-16B0525E19F2%7D.pdf</t>
  </si>
  <si>
    <t>NPL90 — IMOR, personal loans (Banxico).</t>
  </si>
  <si>
    <t>BR</t>
  </si>
  <si>
    <t>Brazil</t>
  </si>
  <si>
    <t>巴西</t>
  </si>
  <si>
    <t>Personal credit total (free resources – individuals)</t>
  </si>
  <si>
    <t>Personal credit total (SGS 20580)</t>
  </si>
  <si>
    <t>BRL</t>
  </si>
  <si>
    <t>https://api.bcb.gov.br/dados/serie/bcdata.sgs.20580/dados/ultimos/3?formato=json</t>
  </si>
  <si>
    <r>
      <rPr>
        <sz val="11"/>
        <color theme="1"/>
        <rFont val="Calibri"/>
        <family val="2"/>
        <charset val="1"/>
      </rPr>
      <t>Prior JSON≈95.0bn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verified≈215.0bn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</si>
  <si>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Direct credit companies (SCD)</t>
  </si>
  <si>
    <t>2026-08</t>
  </si>
  <si>
    <t>https://olinda.bcb.gov.br/olinda/servico/Instituicoes_em_funcionamento/versao/v1/odata/SedesSociedades</t>
  </si>
  <si>
    <t>FLAG-SCOPE: all-lender credit series (mostly banks), not non-bank. Value verified.</t>
  </si>
  <si>
    <t>People with personal loans (Serasa).</t>
  </si>
  <si>
    <t>2026-01</t>
  </si>
  <si>
    <t>https://www.serasa.com.br/credito/mapa-de-credito/</t>
  </si>
  <si>
    <t>NPL90 — BCB series 21120 (exact counterpart of the loan series).</t>
  </si>
  <si>
    <t>https://api.bcb.gov.br/dados/serie/bcdata.sgs.21120/dados/ultimos/4?formato=json</t>
  </si>
  <si>
    <t>KE</t>
  </si>
  <si>
    <t>Kenya</t>
  </si>
  <si>
    <t>肯尼亚</t>
  </si>
  <si>
    <t>Non-bank digital credit providers (DCP) outstanding</t>
  </si>
  <si>
    <t>Digital Credit Providers loans to private sector</t>
  </si>
  <si>
    <t>KES</t>
  </si>
  <si>
    <t>https://www.cma.or.ke/wp-content/uploads/2025/09/Kenya-Financial-Sector-Stability-Report-Sept.-2025.pdf</t>
  </si>
  <si>
    <t>nbfc-evidence/2026-08-10/KE_CMA_FSSR_2025.pdf</t>
  </si>
  <si>
    <r>
      <rPr>
        <sz val="11"/>
        <color theme="1"/>
        <rFont val="Calibri"/>
        <family val="2"/>
        <charset val="1"/>
      </rPr>
      <t>Prior JSON≈0.427bn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verified≈0.6bn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</si>
  <si>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Sub-Saharan Africa</t>
  </si>
  <si>
    <t>Licensed digital credit providers (DCPs)</t>
  </si>
  <si>
    <t>2025-12-24</t>
  </si>
  <si>
    <t>https://www.centralbank.go.ke/uploads/press_releases/233147333_Press%20Release%20%20-%20%20Licensing%20of%20Digital%20Credit%20Providers.pdf</t>
  </si>
  <si>
    <t>OK: matches CBK source; confirmed it is an outstanding balance, not a flow. Non-bank.</t>
  </si>
  <si>
    <t>Active digital loans (CBK) — may not equal people.</t>
  </si>
  <si>
    <t>https://www.businessdailyafrica.com/bd/economy/cash-thirsty-kenyans-tap-5-5m-loans-from-digital-lenders-5184404</t>
  </si>
  <si>
    <t>NPL90 — digital lenders (CBK).</t>
  </si>
  <si>
    <t>https://www.businessdailyafrica.com/bd/economy/borrowers-fail-to-repay-83pc-of-digital-loans-below-sh1000-5189888</t>
  </si>
  <si>
    <t>ZA</t>
  </si>
  <si>
    <t>South Africa</t>
  </si>
  <si>
    <t>南非</t>
  </si>
  <si>
    <t>Other credit providers debtors book (mostly non-bank)</t>
  </si>
  <si>
    <t>Other credit providers — debtors book</t>
  </si>
  <si>
    <t>ZAR</t>
  </si>
  <si>
    <t>https://www.ncr.org.za/documents/CCMR/CCMR_Q2%202025.pdf</t>
  </si>
  <si>
    <t>nbfc-evidence/2026-08-10/ZA_NCR_CCMR_Q2_2025.pdf</t>
  </si>
  <si>
    <r>
      <rPr>
        <sz val="11"/>
        <color theme="1"/>
        <rFont val="Calibri"/>
        <family val="2"/>
        <charset val="1"/>
      </rPr>
      <t>Prior JSON≈9.53bn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verified≈135.5bn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</si>
  <si>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NCR-registered credit providers</t>
  </si>
  <si>
    <t>https://nationalgovernment.co.za/entity_annual/4208/2025-national-credit-regulator-(ncr)-annual-report.pdf</t>
  </si>
  <si>
    <t>FLAG-SCOPE: loan value verified (NCR), but the count 8,147 covers ALL credit providers including banks — different group.</t>
  </si>
  <si>
    <t>Estimate: book ÷ published avg loan (NCR).</t>
  </si>
  <si>
    <t>https://www.ncr.org.za/documents/CBM/CBM%20Q2%202025.pdf</t>
  </si>
  <si>
    <t>Proxy: 22.5% of consumers 3+ months late (NCR) — market-wide.</t>
  </si>
  <si>
    <t>NG</t>
  </si>
  <si>
    <t>Nigeria</t>
  </si>
  <si>
    <t>尼日利亚</t>
  </si>
  <si>
    <t>Consumer credit (other deposit corporations)</t>
  </si>
  <si>
    <t>Consumer credit outstanding (ODCs)</t>
  </si>
  <si>
    <t>NGN</t>
  </si>
  <si>
    <t>https://www.cbn.gov.ng/Out/2026/CCD/Annual%20Report.pdf</t>
  </si>
  <si>
    <r>
      <rPr>
        <sz val="11"/>
        <color theme="1"/>
        <rFont val="Calibri"/>
        <family val="2"/>
        <charset val="1"/>
      </rPr>
      <t>Prior JSON≈0.9538bn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verified≈2.5bn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</si>
  <si>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Microfinance banks (MFBs)</t>
  </si>
  <si>
    <t>2026-07-01</t>
  </si>
  <si>
    <t>https://leadership.ng/cbns-revocation-of-46-licences-cuts-microfinance-banks-to-785/</t>
  </si>
  <si>
    <t>CHANGED (cell X19): count 829 -&gt; 785. CBN cancelled 46 microfinance-bank licences in July 2026; 829 also came from an unofficial website. Loan figure itself verified. Source: https://leadership.ng/cbns-revocation-of-46-licences-cuts-microfinance-banks-to-785/ ; CBN notice: https://www.cbn.gov.ng/Out/2026/CCD/CBN%20Revokes%20Licenses%20of%2046%20Micofinance%20Banks.pdf ; baseline: https://fred.stlouisfed.org/series/NGAFCIODMFNUM</t>
  </si>
  <si>
    <t>Proxy: 6.1% of adults (Findex 2024).</t>
  </si>
  <si>
    <t>https://api.worldbank.org/v2/sources/28/country/NG/series/fin22a/data?format=json (World Bank Global Findex, fin22a) + SP.POP series for adults 15+</t>
  </si>
  <si>
    <t>Proxy: whole banking NPL (CBN).</t>
  </si>
  <si>
    <t>2025-04</t>
  </si>
  <si>
    <t>https://businessday.ng/news/article/11-banks-cross-5-bad-debt-threshold-as-lenders-reclassify-risk-assets/</t>
  </si>
  <si>
    <t>GH</t>
  </si>
  <si>
    <t>Ghana</t>
  </si>
  <si>
    <t>加纳</t>
  </si>
  <si>
    <t>Savings &amp; Loans net loans</t>
  </si>
  <si>
    <t>Net loans – Savings and Loans</t>
  </si>
  <si>
    <t>GHS</t>
  </si>
  <si>
    <t>2024-12-31</t>
  </si>
  <si>
    <t>https://dailyguidenetwork.com/savings-loans-sector-grows-asset-by-30-6/</t>
  </si>
  <si>
    <t>https://www.bog.gov.gh/supervision-regulation/registered-institutions/finance-houses/</t>
  </si>
  <si>
    <t>FLAG-SCOPE: loan is savings &amp; loan companies but the count is finance houses — different groups. Source not a regulator page.</t>
  </si>
  <si>
    <t>Estimate: book ÷ published avg loan.</t>
  </si>
  <si>
    <t>https://www.ghanaweb.com/GhanaHomePage/business/Savings-and-loans-sector-hits-GH-10-billion-in-assets-1991257</t>
  </si>
  <si>
    <t>NPL90 — S&amp;L sector (association figure).</t>
  </si>
  <si>
    <t>MN</t>
  </si>
  <si>
    <t>Mongolia</t>
  </si>
  <si>
    <t>外蒙古</t>
  </si>
  <si>
    <t>NBFI total loans</t>
  </si>
  <si>
    <t>MNT</t>
  </si>
  <si>
    <t>https://www.frc.mn/resources/Image/Document/202602/M8gDX/Urult-toim-2025.pdf</t>
  </si>
  <si>
    <t>Non-bank financial institutions</t>
  </si>
  <si>
    <t>https://www.frc.mn/resources/Image/Document/202512/7ItJz/Urult-toim-2025-%D0%BB%D0%B0%D1%81%D1%82.pdf</t>
  </si>
  <si>
    <t>OK: matches FRC source. Non-bank.</t>
  </si>
  <si>
    <t>NBFI borrowers (FRC). Count is Q1-2025 vs Dec-2025 loans.</t>
  </si>
  <si>
    <t>2025-Q1</t>
  </si>
  <si>
    <t>https://www.frc.mn/resources/Image/Document/202506/ftMDd/Financial-Market-Review-First-Quarter-of-2025.pdf</t>
  </si>
  <si>
    <t>NPL90 (FRC); another 4.6% overdue but not yet NPL.</t>
  </si>
  <si>
    <t>KZ</t>
  </si>
  <si>
    <t>Kazakhstan</t>
  </si>
  <si>
    <t>哈萨克斯坦</t>
  </si>
  <si>
    <t>Unsecured consumer loans</t>
  </si>
  <si>
    <t>Unsecured consumer lending outstanding</t>
  </si>
  <si>
    <t>KZT</t>
  </si>
  <si>
    <t>https://nationalbank.kz/file/download/130774</t>
  </si>
  <si>
    <r>
      <rPr>
        <sz val="11"/>
        <color theme="1"/>
        <rFont val="Calibri"/>
        <family val="2"/>
        <charset val="1"/>
      </rPr>
      <t>Prior JSON≈8.5bn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verified≈22.7bn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</si>
  <si>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Europe &amp; Central Asia</t>
  </si>
  <si>
    <t>Microfinance organizations</t>
  </si>
  <si>
    <t>2025-10-01</t>
  </si>
  <si>
    <t>https://www.gov.kz/memleket/entities/ardfm/press/news/details/1118108?lang=ru</t>
  </si>
  <si>
    <t>FLAG-SCOPE: includes bank lending, not pure non-bank.</t>
  </si>
  <si>
    <t>People with unsecured consumer loans (credit bureau).</t>
  </si>
  <si>
    <t>2025-07</t>
  </si>
  <si>
    <t>https://datahub.1cb.kz/ru/articles/54</t>
  </si>
  <si>
    <t>NPL90 — unsecured consumer loans (credit bureau).</t>
  </si>
  <si>
    <t>UZ</t>
  </si>
  <si>
    <t>Uzbekistan</t>
  </si>
  <si>
    <t>乌兹别克斯坦</t>
  </si>
  <si>
    <t>Microfinance organizations loan outstanding</t>
  </si>
  <si>
    <t>Microfinance organizations — loan outstanding</t>
  </si>
  <si>
    <t>UZS</t>
  </si>
  <si>
    <t>2026-01-01</t>
  </si>
  <si>
    <t>https://cbu.uz/oz/statistics/credit/3361501/</t>
  </si>
  <si>
    <t>https://cbu.uz/en/statistics/credit/3361556/</t>
  </si>
  <si>
    <t>OK: matches CBU page (loads fine in a normal browser).</t>
  </si>
  <si>
    <t>Proxy: book ÷ peer ticket.</t>
  </si>
  <si>
    <t>(method: see basis note; inputs from rows with real data)</t>
  </si>
  <si>
    <t>NPL90 — MFO portfolio (CBU).</t>
  </si>
  <si>
    <t>https://pinkod.uz/ru/news/v-2025-godu-mikrofinansovye-organizatsii-i-lombardy-vydelili-318-trln-sumov-kreditov-analiz</t>
  </si>
  <si>
    <t>KG</t>
  </si>
  <si>
    <t>Kyrgyzstan</t>
  </si>
  <si>
    <t>吉尔吉斯斯坦</t>
  </si>
  <si>
    <t>Non-bank mixed</t>
  </si>
  <si>
    <t>MFO loan portfolio</t>
  </si>
  <si>
    <t>KGS</t>
  </si>
  <si>
    <t>https://24.kg/ekonomika/351812_aktivyi_mikrofinansovyih_organizatsiy_vkyirgyizstane_dostigli_712_milliarda_somov/</t>
  </si>
  <si>
    <t>No citable official/semi-official absolute amount this round; amount left blank</t>
  </si>
  <si>
    <t>https://www.nbkr.kg/DOC/13022026/000000000066666.pdf</t>
  </si>
  <si>
    <t>OK: MFO portfolio. Non-bank. (Source semi-official.)</t>
  </si>
  <si>
    <t>MFO borrowers (national statistics).</t>
  </si>
  <si>
    <t>https://kaktus.media/doc/530182_na_chto_yhodit_bolshaia_chast_mikrokreditov_v_kyrgyzstane._dannye.html</t>
  </si>
  <si>
    <t>Proxy: Central-Asia peer median.</t>
  </si>
  <si>
    <t>TJ</t>
  </si>
  <si>
    <t>Tajikistan</t>
  </si>
  <si>
    <t>塔吉克斯坦</t>
  </si>
  <si>
    <t>Credit portfolio of credit financial orgs (incl. banks)</t>
  </si>
  <si>
    <t>Credit portfolio outstanding — credit financial organizations</t>
  </si>
  <si>
    <t>TJS</t>
  </si>
  <si>
    <t>https://nbt.tj/ru/news/618354/</t>
  </si>
  <si>
    <t>https://nbt.tj/files/suboti-moliyavi/1%20квартал%202026%20eng%20_%20Обзор%20финансовой%20системы.pdf</t>
  </si>
  <si>
    <t>CHANGED (cell I25): usd 2.39 -&gt; 2.84. Wrong exchange rate used (10.9; actual ~9.2). Also FLAG-SCOPE: series includes banks. Source: https://www.xe.com/currencyconverter/ (USD/TJS 9.22) ; loan figure: https://nbt.tj/en/news/618354/</t>
  </si>
  <si>
    <t>Estimate: 25% of ~6.5m adults.</t>
  </si>
  <si>
    <t>https://nbt.tj/ru/statistics/statistical_bulletin.php</t>
  </si>
  <si>
    <t>DPD30 — NBT counts NPL from 30 days (2024, old).</t>
  </si>
  <si>
    <t>2024-Q2</t>
  </si>
  <si>
    <t>https://www.imf.org/-/media/files/publications/cr/2025/english/1tjkea2025001-print-pdf.pdf</t>
  </si>
  <si>
    <t>TM</t>
  </si>
  <si>
    <t>Turkmenistan</t>
  </si>
  <si>
    <t>土库曼斯坦</t>
  </si>
  <si>
    <t>Loans to citizens &amp; sole proprietors outstanding</t>
  </si>
  <si>
    <t>Loans outstanding to citizens and sole proprietors</t>
  </si>
  <si>
    <t>TMT</t>
  </si>
  <si>
    <t>2026-06-01</t>
  </si>
  <si>
    <t>https://business.com.tm/post/15909/outstanding-bank-loans-in-turkmenistan-near-1002-billion-manats</t>
  </si>
  <si>
    <t>OK (by decision): converted at the official peg 3.5 TMT/USD — confirmed by team 2026-08-11. For reference: the street rate (~19) would give ~$1.75bn instead of $9.6bn; noted only, not used.</t>
  </si>
  <si>
    <t>Estimate: 20% of ~5m adults.</t>
  </si>
  <si>
    <t>Estimate: Central-Asia median.</t>
  </si>
  <si>
    <t>CO</t>
  </si>
  <si>
    <t>Colombia</t>
  </si>
  <si>
    <t>哥伦比亚</t>
  </si>
  <si>
    <t>Consumer loan portfolio (credit institutions)</t>
  </si>
  <si>
    <t>Consumer portfolio — credit establishments</t>
  </si>
  <si>
    <t>COP</t>
  </si>
  <si>
    <t>2026-04-30</t>
  </si>
  <si>
    <t>https://www.elpais.com.co/economia/estas-son-las-deudas-y-los-ahorros-que-tienen-los-colombianos-en-los-bancos-1828.html</t>
  </si>
  <si>
    <t>https://www.fogafin.gov.co/entidades-inscritas</t>
  </si>
  <si>
    <t>FLAG-SCOPE: bank-dominated lenders, not non-bank.</t>
  </si>
  <si>
    <t>Consumer borrowers (19% of adults, official RIF).</t>
  </si>
  <si>
    <t>https://www.bancadelasoportunidades.gov.co/sites/default/files/2025-06/BDO_RIF%202024_03062025.pdf</t>
  </si>
  <si>
    <t>DPD30 — SFC mora, consumer portfolio.</t>
  </si>
  <si>
    <t>https://www.banrep.gov.co/sites/default/files/publicaciones/archivos/presentacion-reporte-estabilidad-financiera-primer-semestre-2026.pdf</t>
  </si>
  <si>
    <t>AR</t>
  </si>
  <si>
    <t>Argentina</t>
  </si>
  <si>
    <t>阿根廷</t>
  </si>
  <si>
    <t>Private-sector personal loans (pesos)</t>
  </si>
  <si>
    <t>Personal loans (non-financial private sector)</t>
  </si>
  <si>
    <t>ARS</t>
  </si>
  <si>
    <t>2026-06-30</t>
  </si>
  <si>
    <t>https://www.bcra.gob.ar/archivos/Pdfs/PublicacionesEstadisticas/informes/informe-monetario-mensual-jun-26.pdf</t>
  </si>
  <si>
    <r>
      <rPr>
        <sz val="11"/>
        <color theme="1"/>
        <rFont val="Calibri"/>
        <family val="2"/>
        <charset val="1"/>
      </rPr>
      <t>Prior JSON≈8.0bn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verified≈17.6bn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</si>
  <si>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Non-financial credit providers (PNFC)</t>
  </si>
  <si>
    <t>https://www.bcra.gob.ar/archivos/Pdfs/PublicacionesEstadisticas/informes/informe-proveedores-no-financieros-credito-junio-2026.pdf</t>
  </si>
  <si>
    <t>FLAG-SCOPE: bank personal loans, not non-bank. Value verified.</t>
  </si>
  <si>
    <t>People with personal loans, all lenders — wider than this row.</t>
  </si>
  <si>
    <t>https://www.bcra.gob.ar/publicaciones/informe-de-inclusion-financiera-segundo-semestre-de-2025/</t>
  </si>
  <si>
    <t>NPL90 — BCRA irregularidad, personal loans (was 3.5% Jan-2025).</t>
  </si>
  <si>
    <t>2026-05</t>
  </si>
  <si>
    <t>https://www.perfil.com/noticias/economia/la-mora-de-las-familias-volvio-a-subir-en-mayo-casi-13-de-cada-100-prestados-a-los-hogares-esta-en-situacion-irregular.phtml</t>
  </si>
  <si>
    <t>PE</t>
  </si>
  <si>
    <t>Peru</t>
  </si>
  <si>
    <t>秘鲁</t>
  </si>
  <si>
    <t>Consumer credit outstanding (deposit-taking institutions)</t>
  </si>
  <si>
    <t>Private-sector credit — consumption balances</t>
  </si>
  <si>
    <t>PEN</t>
  </si>
  <si>
    <t>https://estadisticas.bcrp.gob.pe/estadisticas/series/mensuales/resultados/PN00533MM/html</t>
  </si>
  <si>
    <r>
      <rPr>
        <sz val="11"/>
        <color theme="1"/>
        <rFont val="Calibri"/>
        <family val="2"/>
        <charset val="1"/>
      </rPr>
      <t>Prior JSON≈14.0bn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verified≈30.9bn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</si>
  <si>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https://intranet2.sbs.gob.pe/estadistica/financiera/2025/Diciembre/SF-2103-di2025.PDF</t>
  </si>
  <si>
    <t>FLAG-SCOPE: whole financial system (mostly banks), not non-bank. Value verified.</t>
  </si>
  <si>
    <t>People with consumer credit (SBS data, 2024).</t>
  </si>
  <si>
    <t>2024-08</t>
  </si>
  <si>
    <t>https://rpp.pe/economia/economia/ccl-mas-de-8-millones-de-peruanos-tienen-un-credito-en-el-sistema-financiero-noticia-1593414</t>
  </si>
  <si>
    <t>DPD30 — SBS morosidad (mixed 30/90 basis).</t>
  </si>
  <si>
    <t>https://intranet2.sbs.gob.pe/estadistica/financiera/2025/Junio/SF-2103-jn2025.PDF</t>
  </si>
  <si>
    <t>CL</t>
  </si>
  <si>
    <t>Chile</t>
  </si>
  <si>
    <t>智利</t>
  </si>
  <si>
    <t>Bank consumer credit (effective placements, local currency)</t>
  </si>
  <si>
    <t>Bank effective placements — consumption (local currency)</t>
  </si>
  <si>
    <t>CLP</t>
  </si>
  <si>
    <t>2026-07-31</t>
  </si>
  <si>
    <t>https://si3.bcentral.cl/Siete/ES/Siete/Cuadro/CAP_DYB/MN_ESTAD_MON55/ICS_COLOCACIONES</t>
  </si>
  <si>
    <r>
      <rPr>
        <sz val="11"/>
        <color theme="1"/>
        <rFont val="Calibri"/>
        <family val="2"/>
        <charset val="1"/>
      </rPr>
      <t>Prior JSON≈28.0bn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verified≈22.7bn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</si>
  <si>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Emerging market &amp; developing economy|WB High income|OECD Yes</t>
  </si>
  <si>
    <t>Savings &amp; credit cooperatives (CMF)</t>
  </si>
  <si>
    <t>https://www.cmfchile.cl/institucional/mercados/consulta.php?Estado=VI&amp;entidad=BCCOO&amp;mercado=B</t>
  </si>
  <si>
    <t>FLAG-SCOPE: bank loans, not non-bank.</t>
  </si>
  <si>
    <t>Debtors incl. mortgages (CMF) — wider than this row.</t>
  </si>
  <si>
    <t>https://www.cmfchile.cl/portal/prensa/625/w4-article-102984.html</t>
  </si>
  <si>
    <t>NPL90 — mora 90+, bank consumer book (CMF).</t>
  </si>
  <si>
    <t>https://www.cmfchile.cl/portal/prensa/625/w4-article-111429.html</t>
  </si>
  <si>
    <t>EG</t>
  </si>
  <si>
    <t>Egypt</t>
  </si>
  <si>
    <t>埃及</t>
  </si>
  <si>
    <t>Non-bank consumer finance portfolios (FRA)</t>
  </si>
  <si>
    <t>Outstanding consumer finance portfolios (FRA NBFIs)</t>
  </si>
  <si>
    <t>EGP</t>
  </si>
  <si>
    <t>https://english.ahram.org.eg/UI/Front/Inner.aspx?NewsContentID=569636</t>
  </si>
  <si>
    <r>
      <rPr>
        <sz val="11"/>
        <color theme="1"/>
        <rFont val="Calibri"/>
        <family val="2"/>
        <charset val="1"/>
      </rPr>
      <t>Prior JSON≈9.0bn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verified≈2.0bn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</si>
  <si>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FRA-licensed consumer finance companies</t>
  </si>
  <si>
    <t>https://english.ahram.org.eg/News/569636.aspx</t>
  </si>
  <si>
    <t>CHANGED (cell X31): count 28 -&gt; 48. Regulator-cited reports all say 48 licences; nothing supports 28. Loan figure is true non-bank and verified. Source: https://english.ahram.org.eg/News/569636.aspx ; https://enterpriseam.com/egypt/2026/05/25/whats-behind-egypts-consumer-finance-crackdown/</t>
  </si>
  <si>
    <t>Borrowers active in the month (FRA).</t>
  </si>
  <si>
    <t>Proxy: association-stated 3-4%.</t>
  </si>
  <si>
    <t>https://www.mubasher.info/news/4536504/</t>
  </si>
  <si>
    <t>MA</t>
  </si>
  <si>
    <t>Morocco</t>
  </si>
  <si>
    <t>摩洛哥</t>
  </si>
  <si>
    <t>Non-bank finance companies – consumer credit</t>
  </si>
  <si>
    <t>Consumer credit — finance companies</t>
  </si>
  <si>
    <t>MAD</t>
  </si>
  <si>
    <t>https://www.bkam.ma/content/download/848253/9167875/RSF%202025.pdf</t>
  </si>
  <si>
    <t>nbfc-evidence/2026-08-10/MA_BAM_RSF_2025.pdf</t>
  </si>
  <si>
    <r>
      <rPr>
        <sz val="11"/>
        <color theme="1"/>
        <rFont val="Calibri"/>
        <family val="2"/>
        <charset val="1"/>
      </rPr>
      <t>Prior JSON≈12.0bn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verified≈10.1bn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</si>
  <si>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https://www.bkam.ma/ar/content/download/847887/9165413/Rapport%20DSB%202025.pdf</t>
  </si>
  <si>
    <t>OK: non-bank finance companies. (Site blocks automated checks; value corroborated elsewhere.)</t>
  </si>
  <si>
    <t>Estimate: book ÷ published avg loan (APSF).</t>
  </si>
  <si>
    <t>https://fr.le360.ma/economie/menages-la-dette-grimpe-a-456-milliards-de-dirhams-la-plus-forte-hausse-depuis-2012_7PA26X5P7REC7CFDCD633PW2YY/</t>
  </si>
  <si>
    <t>NPL90 — finance-company consumer credit (BAM).</t>
  </si>
  <si>
    <t>DZ</t>
  </si>
  <si>
    <t>Algeria</t>
  </si>
  <si>
    <t>阿尔及利亚</t>
  </si>
  <si>
    <t>PENDING_NO_CITABLE_SOURCE</t>
  </si>
  <si>
    <t>Licensed financial institutions (non-bank)</t>
  </si>
  <si>
    <t>2026-01-04</t>
  </si>
  <si>
    <t>https://www.joradp.dz/FTP/jo-francais/2026/F2026009.pdf</t>
  </si>
  <si>
    <t>PENDING: no usable source, no figures. Excluded from totals.</t>
  </si>
  <si>
    <t>n/a (pending)</t>
  </si>
  <si>
    <t>TN</t>
  </si>
  <si>
    <t>Tunisia</t>
  </si>
  <si>
    <t>突尼斯</t>
  </si>
  <si>
    <t>Leasing companies – leasing operations outstanding</t>
  </si>
  <si>
    <t>Leasing companies — operations outstanding</t>
  </si>
  <si>
    <t>TND</t>
  </si>
  <si>
    <t>https://www.bct.gov.tn/bct/siteprod/tableau_statistique.jsp?la=AN&amp;params=PL203277</t>
  </si>
  <si>
    <t>Leasing companies</t>
  </si>
  <si>
    <t>https://www.tunisienumerique.com/wp-content/uploads/2025/11/Rapport-BCT-2024-supervision.pdf</t>
  </si>
  <si>
    <t>OK: verified. Non-bank (leasing). File is a mirror copy — better to cite BCT directly.</t>
  </si>
  <si>
    <t>https://www.lapresse.tn/2025/11/08/secteur-du-leasing-resultats-positifs-et-solidite-financiere-confirmee-en-2024/</t>
  </si>
  <si>
    <t>NPL90 — classified loans, leasing sector (BCT).</t>
  </si>
  <si>
    <t>2024</t>
  </si>
  <si>
    <t>LY</t>
  </si>
  <si>
    <t>Libya</t>
  </si>
  <si>
    <t>利比亚</t>
  </si>
  <si>
    <t>Personal/household loans total</t>
  </si>
  <si>
    <t>Murabaha loans to individuals</t>
  </si>
  <si>
    <t>LYD</t>
  </si>
  <si>
    <t>https://cbl.gov.ly/en/wp-content/uploads/sites/4/2026/04/Main_Financial_Data_and_Indicators_of_the_Libyan_Banks_2025.pdf</t>
  </si>
  <si>
    <t>CHANGED (cell I35): usd 3.56 -&gt; 3.07. Old pre-devaluation rate (4.8) used; official rate is 5.57 since Apr-2025. Also FLAG-SCOPE: these are bank loans. Source: rate: https://cbl.gov.ly/en/currency-exchange-rates/ + https://libyaobserver.ly/economy/central-bank-libya-devalues-dinar-133 ; loan figure: https://cbl.gov.ly/en/wp-content/uploads/sites/4/2026/04/Main_Financial_Data_and_Indicators_of_the_Libyan_Banks_2025.pdf</t>
  </si>
  <si>
    <t>Proxy: whole banking book incl. legacy NPLs.</t>
  </si>
  <si>
    <t>https://cbl.gov.ly/en/wp-content/uploads/sites/4/2025/03/Main-Financial-Data-and-Indicators-of-the-Libyan-Banks-2024.pdf</t>
  </si>
  <si>
    <t>SD</t>
  </si>
  <si>
    <t>Sudan</t>
  </si>
  <si>
    <t>苏丹</t>
  </si>
  <si>
    <t>Low income</t>
  </si>
  <si>
    <t>LIC</t>
  </si>
  <si>
    <t>Emerging market &amp; developing economy|WB Low income|OECD No</t>
  </si>
  <si>
    <t>Licensed microfinance institutions</t>
  </si>
  <si>
    <t>2023</t>
  </si>
  <si>
    <t>https://sudanhorizon.com/microfinance-in-sudan-after-the-war-from-the-traditional-model-to-flexible-digital-islamic-development-finance-part-1-of-4/</t>
  </si>
  <si>
    <t>PENDING: no usable source. Excluded from totals.</t>
  </si>
  <si>
    <t>SA</t>
  </si>
  <si>
    <t>Saudi Arabia</t>
  </si>
  <si>
    <t>沙特</t>
  </si>
  <si>
    <t>Non-bank finance companies total credit (retail + corporate etc.)</t>
  </si>
  <si>
    <t>Finance companies total credit offered</t>
  </si>
  <si>
    <t>SAR</t>
  </si>
  <si>
    <t>https://sama.gov.sa/en-US/Publications/EconomicReports/DevelopmentReports/Key_Economic_Developments_Q3_2025-EN.pdf</t>
  </si>
  <si>
    <t>nbfc-evidence/2026-08-10/SA_SAMA_Key_Economic_Developments_Q3_2025.pdf</t>
  </si>
  <si>
    <r>
      <rPr>
        <sz val="11"/>
        <color theme="1"/>
        <rFont val="Calibri"/>
        <family val="2"/>
        <charset val="1"/>
      </rPr>
      <t>Prior JSON≈55.0bn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verified≈27.4bn;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prior secondary placeholder deprecated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</si>
  <si>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Emerging market &amp; developing economy|WB High income|OECD No</t>
  </si>
  <si>
    <t>SAMA-licensed finance companies</t>
  </si>
  <si>
    <t>2026-07-28</t>
  </si>
  <si>
    <t>https://www.arabnews.pk/node/2653476/business-economy</t>
  </si>
  <si>
    <t>OK: matches SAMA report. True non-bank (finance companies).</t>
  </si>
  <si>
    <t>Proxy: book ÷ assumed SAR 40k ticket.</t>
  </si>
  <si>
    <t>NPL90 — SAMA finance companies (exact scope).</t>
  </si>
  <si>
    <t>https://www.sama.gov.sa/en-US/Publications/FinanceReports/Financial%20Stability%20Report/Financial_Stability_Report_2025_En.pdf</t>
  </si>
  <si>
    <t>United Arab Emirates</t>
  </si>
  <si>
    <t>阿联酋</t>
  </si>
  <si>
    <t>Personal loans total (banking system)</t>
  </si>
  <si>
    <t>Personal Loans to Residents (banks)</t>
  </si>
  <si>
    <t>AED</t>
  </si>
  <si>
    <t>https://www.centralbank.ae/media/2cyhdr5b/uae-monetary-banking-financial-markets-dev-report-e-q4-2025.pdf</t>
  </si>
  <si>
    <t>nbfc-evidence/2026-08-10/AE_CBUAE_Q4_2025_Monetary.pdf</t>
  </si>
  <si>
    <r>
      <rPr>
        <sz val="11"/>
        <color theme="1"/>
        <rFont val="Calibri"/>
        <family val="2"/>
        <charset val="1"/>
      </rPr>
      <t>Prior JSON≈45.0bn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verified≈154.6bn;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prior secondary placeholder deprecated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</si>
  <si>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CBUAE-licensed finance companies</t>
  </si>
  <si>
    <t>https://centralbank.ae/en/licensing</t>
  </si>
  <si>
    <t>FLAG-SCOPE: bank personal loans, not non-bank.</t>
  </si>
  <si>
    <t>Proxy: 22.5% of adults (Findex 2021).</t>
  </si>
  <si>
    <t>2021 (estimate)</t>
  </si>
  <si>
    <t>https://api.worldbank.org/v2/sources/28/country/AE/series/fin22a/data?format=json (World Bank Global Findex, fin22a) + SP.POP series for adults 15+</t>
  </si>
  <si>
    <t>Proxy: whole-bank NPL incl. corporate.</t>
  </si>
  <si>
    <t>https://www.centralbank.ae/media/kaqlwo0h/cbuae-fsr-report_2025_en.pdf</t>
  </si>
  <si>
    <t>BH</t>
  </si>
  <si>
    <t>Bahrain</t>
  </si>
  <si>
    <t>巴林</t>
  </si>
  <si>
    <t>Personal loans (banks)</t>
  </si>
  <si>
    <t>Personal loans excl. property-mortgage-secured (net)</t>
  </si>
  <si>
    <t>https://www.cbb.gov.bh/wp-content/uploads/2025/11/Financial-Stability-Report-Sep-2025.pdf</t>
  </si>
  <si>
    <r>
      <rPr>
        <sz val="11"/>
        <color theme="1"/>
        <rFont val="Calibri"/>
        <family val="2"/>
        <charset val="1"/>
      </rPr>
      <t>Prior JSON≈4.0bn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verified≈16.2bn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</si>
  <si>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CBB financing companies</t>
  </si>
  <si>
    <t>2024-04</t>
  </si>
  <si>
    <t>https://www.cbb.gov.bh/fact-sheet/</t>
  </si>
  <si>
    <t>CHANGED (cells G39=AE39-AF39, I39; earlier Z39): mortgage deducted per senior decision. Gross 6,103.5M − property-mortgage-secured 3,093.9M (exact CBB FSR) = net 3,009.6M BD ($7.98bn). Earlier change kept: count date corrected to 2024-04 (count itself dated Dec-2022). Scope: bank lending, accepted by decision. Source: https://www.cbb.gov.bh/wp-content/uploads/2025/11/Financial-Stability-Report-Sep-2025.pdf</t>
  </si>
  <si>
    <t>Estimate: 25% of ~1.4m adults.</t>
  </si>
  <si>
    <t>NPL90 — personal loans incl. the mortgage-secured half (CBB).</t>
  </si>
  <si>
    <t>2025-Q2</t>
  </si>
  <si>
    <t>QA</t>
  </si>
  <si>
    <t>Qatar</t>
  </si>
  <si>
    <t>卡塔尔</t>
  </si>
  <si>
    <t>QAR</t>
  </si>
  <si>
    <t>2025-07-31</t>
  </si>
  <si>
    <t>https://www.alamssar.com/432086</t>
  </si>
  <si>
    <t>QCB-registered Islamic finance companies</t>
  </si>
  <si>
    <t>https://oxfordbusinessgroup.com/reports/qatar/2024-report/islamic-financial-services/market-making-initiatives-government-led-diversification-programmes-and-technological-innovation-pave-the-way-for-growth-in-the-coming-years-overview/</t>
  </si>
  <si>
    <t>FLAG-SCOPE + SOURCE: bank loans, and the source is press, not QCB. Housing check 2026-08-11: QCB tracks real estate separately, so this series already excludes housing. Note the 114.7bn is below total consumption credit (~180bn) — likely a sub-line; identify which when QCB tables are pulled manually.</t>
  </si>
  <si>
    <t>Proxy: 12.6% of adults (Findex 2011 — very old).</t>
  </si>
  <si>
    <t>2011 (estimate)</t>
  </si>
  <si>
    <t>https://api.worldbank.org/v2/sources/28/country/QA/series/fin22a/data?format=json (World Bank Global Findex, fin22a) + SP.POP series for adults 15+</t>
  </si>
  <si>
    <t>Proxy: whole-bank NPL (IMF).</t>
  </si>
  <si>
    <t>2024-Q3</t>
  </si>
  <si>
    <t>https://www.imf.org/-/media/Files/Publications/CR/2025/English/1qatea2025001-print-pdf.ashx</t>
  </si>
  <si>
    <t>KW</t>
  </si>
  <si>
    <t>Kuwait</t>
  </si>
  <si>
    <t>科威特</t>
  </si>
  <si>
    <t>Personal consumer facilities (banks)</t>
  </si>
  <si>
    <t>Personal Facilities — Consumer Loans</t>
  </si>
  <si>
    <t>KD</t>
  </si>
  <si>
    <t>https://www.cbk.gov.kw/en/statistics-and-publication/dynamic-statistical-releases/monthly/2026/01/1301</t>
  </si>
  <si>
    <r>
      <rPr>
        <sz val="11"/>
        <color theme="1"/>
        <rFont val="Calibri"/>
        <family val="2"/>
        <charset val="1"/>
      </rPr>
      <t>Prior JSON≈15.0bn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verified≈6.7bn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</si>
  <si>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CBK-registered finance companies</t>
  </si>
  <si>
    <t>2025-04-30</t>
  </si>
  <si>
    <t>https://www.cbk.gov.kw/en/images/chartapr2025-168235_v10_tcm10-168235.pdf</t>
  </si>
  <si>
    <t>FLAG-SCOPE: bank consumer loans, not non-bank. Value verified.</t>
  </si>
  <si>
    <t>Proxy: 28.5% of adults (Findex 2017).</t>
  </si>
  <si>
    <t>2017 (estimate)</t>
  </si>
  <si>
    <t>https://api.worldbank.org/v2/sources/28/country/KW/series/fin22a/data?format=json (World Bank Global Findex, fin22a) + SP.POP series for adults 15+</t>
  </si>
  <si>
    <t>Proxy: whole-bank NPL (CBK).</t>
  </si>
  <si>
    <t>https://www.cbk.gov.kw/en/images/stability-report-2024-168655_v10_tcm10-168655.pdf</t>
  </si>
  <si>
    <t>OM</t>
  </si>
  <si>
    <t>阿曼</t>
  </si>
  <si>
    <t>Bank personal loans</t>
  </si>
  <si>
    <t>Personal loans — banking sector</t>
  </si>
  <si>
    <t>USD</t>
  </si>
  <si>
    <t>https://www.agbi.com/banking-finance/2025/12/personal-loans-lift-oman-bank-lending-to-90bn/</t>
  </si>
  <si>
    <t>Finance &amp; leasing companies</t>
  </si>
  <si>
    <t>https://ominvest.com/assets/uploads/2025/11/Ominvest-Investor-Presentation-03.09.2025.pdf</t>
  </si>
  <si>
    <t>FLAG-SCOPE + SOURCE: bank loans, and the source is press, not CBO. Housing check 2026-08-11: CBO's personal-loans category INCLUDES residential housing loans and no official ex-housing split is published — mortgage share unknown; treat this row as housing-inclusive when comparing.</t>
  </si>
  <si>
    <t>Proxy: 8.8% of adults (Findex 2024).</t>
  </si>
  <si>
    <t>https://api.worldbank.org/v2/sources/28/country/OM/series/fin22a/data?format=json (World Bank Global Findex, fin22a) + SP.POP series for adults 15+</t>
  </si>
  <si>
    <t>Proxy: whole-bank NPL (IMF, 2023).</t>
  </si>
  <si>
    <t>2023-06</t>
  </si>
  <si>
    <t>https://www.imf.org/-/media/files/publications/cr/2025/english/1omnea2025003-print-pdf.pdf</t>
  </si>
  <si>
    <t>JO</t>
  </si>
  <si>
    <t>Jordan</t>
  </si>
  <si>
    <t>约旦</t>
  </si>
  <si>
    <t>Licensed microfinance institutions loan portfolio</t>
  </si>
  <si>
    <t>Outstanding loan portfolio — microfinance institutions</t>
  </si>
  <si>
    <t>JOD</t>
  </si>
  <si>
    <t>https://microfinancegateway.org/ar/bhthtqryr/2026/04/mlkhs-tqryr-shbkt-tnmyt-llrb-alrab-mn-am-2025-hwl-ada-mwssat-altmwyl-alasghr</t>
  </si>
  <si>
    <t>Specialized finance companies</t>
  </si>
  <si>
    <t>https://www.cbj.gov.jo/AR/List/%D8%B4%D8%B1%D9%83%D8%A7%D8%AA_%D8%A7%D9%84%D8%AA%D9%85%D9%88%D9%8A%D9%84_%D8%A7%D9%84%D9%85%D8%AA%D8%AE%D8%B5%D8%B5</t>
  </si>
  <si>
    <t>OK: microfinance portfolio. Non-bank.</t>
  </si>
  <si>
    <t>Active MFI borrowers (Tanmeyah, Q1-2026).</t>
  </si>
  <si>
    <t>2026-Q1</t>
  </si>
  <si>
    <t>https://www.jordannews.jo/Section-112/Economy/Decline-in-Active-Borrowers-and-Loan-Portfolio-for-Microfinance-Clients-51507</t>
  </si>
  <si>
    <t>Proxy: regional MFI peer median.</t>
  </si>
  <si>
    <t>(Tanmeyah publishes PAR30 in offline factsheets; peer values from rows with data)</t>
  </si>
  <si>
    <t>LB</t>
  </si>
  <si>
    <t>Lebanon</t>
  </si>
  <si>
    <t>黎巴嫩</t>
  </si>
  <si>
    <t>Financial institutions (BDL list)</t>
  </si>
  <si>
    <t>2026-01-29</t>
  </si>
  <si>
    <t>https://www.bdl.gov.lb/institutions.php</t>
  </si>
  <si>
    <t>IQ</t>
  </si>
  <si>
    <t>Iraq</t>
  </si>
  <si>
    <t>伊拉克</t>
  </si>
  <si>
    <t>SME finance companies</t>
  </si>
  <si>
    <t>https://cbi.iq/page/25</t>
  </si>
  <si>
    <t>IL</t>
  </si>
  <si>
    <t>Israel</t>
  </si>
  <si>
    <t>以色列</t>
  </si>
  <si>
    <t>Non-bank (credit card cos.) household non-housing debt</t>
  </si>
  <si>
    <t>Household nonhousing debt — credit card companies</t>
  </si>
  <si>
    <t>ILS</t>
  </si>
  <si>
    <t>https://www.boi.org.il/media/ewcmwflk/debt-developments-third-quarter-2025.pdf</t>
  </si>
  <si>
    <t>nbfc-evidence/2026-08-10/IL_BOI_Debt_Q3_2025.pdf</t>
  </si>
  <si>
    <r>
      <rPr>
        <sz val="11"/>
        <color theme="1"/>
        <rFont val="Calibri"/>
        <family val="2"/>
        <charset val="1"/>
      </rPr>
      <t>Prior JSON≈35.0bn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verified≈13.2bn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</si>
  <si>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CMISA credit-service license holders</t>
  </si>
  <si>
    <t>https://www.gov.il/BlobFolder/news/press_0083/he/Commisioner%20Report%20Design%20B_chapter7_ver10_digital.pdf</t>
  </si>
  <si>
    <t>OK: credit-card companies (non-bank). Verified.</t>
  </si>
  <si>
    <t>NPL90 — credit-card companies (Bank of Israel).</t>
  </si>
  <si>
    <t>2024-06</t>
  </si>
  <si>
    <t>https://www.boi.org.il/media/y24bxfjg/annual_survey_h1_2024.pdf</t>
  </si>
  <si>
    <t>PS</t>
  </si>
  <si>
    <t>Palestine</t>
  </si>
  <si>
    <t>巴勒斯坦</t>
  </si>
  <si>
    <t>Household credit excl. real-estate/mortgage (net, PMA)</t>
  </si>
  <si>
    <t>https://www.theglobaleconomy.com/Palestine/consumer_credit/</t>
  </si>
  <si>
    <t>Specialized lending institutions</t>
  </si>
  <si>
    <t>https://journals.eikipub.com/index.php/JEIME/article/download/642/371</t>
  </si>
  <si>
    <t>CHANGED (cells G47=AE47-AF47, I47): mortgage deducted per senior decision. Gross 4.19bn − mortgage credit 1.08bn = net 3.11bn USD (PMA, Dec-2025; the old 4.4bn was the Dec-2024 total). Scope: bank lending via aggregator mirroring PMA — re-cite PMA directly. Source: https://www.theglobaleconomy.com/Palestine/consumer_credit/ ; https://www.theglobaleconomy.com/Palestine/mortgage_credit/</t>
  </si>
  <si>
    <t>Estimate: 18% of adults — the share PMA reports.</t>
  </si>
  <si>
    <t>https://www.raya.ps/articles/1216519.html</t>
  </si>
  <si>
    <t>Proxy: whole credit book NPL (PMA).</t>
  </si>
  <si>
    <t>TR</t>
  </si>
  <si>
    <t>Türkiye</t>
  </si>
  <si>
    <t>土耳其</t>
  </si>
  <si>
    <t>Bank personal finance loans</t>
  </si>
  <si>
    <t>Consumer Loans — Personal Finance</t>
  </si>
  <si>
    <t>TRY</t>
  </si>
  <si>
    <t>2026-04-29</t>
  </si>
  <si>
    <t>https://www.bddk.gov.tr/bultenhaftalik/en</t>
  </si>
  <si>
    <r>
      <rPr>
        <sz val="11"/>
        <color theme="1"/>
        <rFont val="Calibri"/>
        <family val="2"/>
        <charset val="1"/>
      </rPr>
      <t>Prior JSON≈40.0bn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verified≈60.2bn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</si>
  <si>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https://www.bddk.gov.tr/KurumHakkinda/EkGetir/5?ekId=428</t>
  </si>
  <si>
    <t>CHANGED (cell I48): usd 60.18 -&gt; 53.26. Wrong exchange rate used (40; actual ~45.2). Also FLAG-SCOPE: these are bank loans. Source: https://www.exchange-rates.org/exchange-rate-history/try-usd-2026 GOOD NEWS on scope: the 2,407bn matches BRSA's personal-loans-ONLY series (housing-inclusive total was ~3,188bn at that date), so this row already EXCLUDES housing — no further change needed.</t>
  </si>
  <si>
    <t>People with any retail loan — wider than this row.</t>
  </si>
  <si>
    <t>https://www.alomaliye.com/2026/07/14/nakdi-krediler-27-5-trilyon-tlyi-asti-mayis-2026/</t>
  </si>
  <si>
    <t>NPL90 — retail incl. credit cards.</t>
  </si>
  <si>
    <t>YE</t>
  </si>
  <si>
    <t>Yemen</t>
  </si>
  <si>
    <t>也门</t>
  </si>
  <si>
    <t>Bank credit to the private sector</t>
  </si>
  <si>
    <t>YER</t>
  </si>
  <si>
    <t>https://english.cby-ye.com/files/68ef3fd727694.pdf</t>
  </si>
  <si>
    <t>Microfinance banks</t>
  </si>
  <si>
    <t>https://cby-ye.com/files/687900f73aea7.pdf</t>
  </si>
  <si>
    <t>CHANGED (cell I49): usd 8.38 -&gt; 0.95. Converted at the dead pre-war rate (250); the real rate is 2,212.7 — published in this row's own source. Was ~9x too high. Also FLAG-SCOPE: includes company loans, not just personal. Source: https://english.cby-ye.com/files/68ef3fd727694.pdf (CBY-Aden monthly report: rate 2,212.70 AND the YER 2,094.5bn figure)</t>
  </si>
  <si>
    <t>Estimate: Libya used as analog.</t>
  </si>
  <si>
    <t>IR</t>
  </si>
  <si>
    <t>Iran</t>
  </si>
  <si>
    <t>伊朗</t>
  </si>
  <si>
    <t>TZ</t>
  </si>
  <si>
    <t>Tanzania</t>
  </si>
  <si>
    <t>坦桑尼亚</t>
  </si>
  <si>
    <t>Non-bank Tier-2 microfinance service providers outstanding</t>
  </si>
  <si>
    <t>Outstanding loans – Tier 2 MSPs</t>
  </si>
  <si>
    <t>TZS</t>
  </si>
  <si>
    <t>https://bot.go.tz/Publications/Other/Banking%20Supervision%20Annual%20Reports/en/2026070216351588.pdf</t>
  </si>
  <si>
    <t>nbfc-evidence/2026-08-10/TZ_BoT_Banking_Supervision_2025.pdf</t>
  </si>
  <si>
    <t>Tier-2 non-deposit-taking microfinance service providers</t>
  </si>
  <si>
    <t>OK: matches BOT (Tanzania) source. Non-bank.</t>
  </si>
  <si>
    <t>Loan accounts, not people (BOT).</t>
  </si>
  <si>
    <t>https://www.bot.go.tz/Publications/Regular/Annual%20Report/en/2025082509110517.pdf</t>
  </si>
  <si>
    <t>Estimate: regional microfinance median.</t>
  </si>
  <si>
    <t>UG</t>
  </si>
  <si>
    <t>Uganda</t>
  </si>
  <si>
    <t>乌干达</t>
  </si>
  <si>
    <t>MFI outstanding portfolio (association sample)</t>
  </si>
  <si>
    <t>Outstanding portfolio – MFIs (AMFIU sample)</t>
  </si>
  <si>
    <t>UGX</t>
  </si>
  <si>
    <t>https://amfiu.org.ug/wp-content/uploads/2025/08/PMT-Quarterly-Performance-report-Q1-2005.pdf</t>
  </si>
  <si>
    <t>Money lenders (Tier 4)</t>
  </si>
  <si>
    <t>https://umra.go.ug/wp-content/uploads/2024/10/Sacco-MicroFinance-GuideBook-FINAL-LIGHT-VERSION-1.pdf</t>
  </si>
  <si>
    <t>OK: but it is a sample of MFIs, not the full sector.</t>
  </si>
  <si>
    <t>Borrowers at all MFI tiers (AMFIU, 2023).</t>
  </si>
  <si>
    <t>2023-09</t>
  </si>
  <si>
    <t>https://amfiu.org.ug/wp-content/uploads/2023/12/REVISED-MICROFINANCE-INDUSTRY-REPORT-20222023.pdf</t>
  </si>
  <si>
    <t>PAR30 — non-deposit MFIs (AMFIU, 2023).</t>
  </si>
  <si>
    <t>RW</t>
  </si>
  <si>
    <t>Rwanda</t>
  </si>
  <si>
    <t>卢旺达</t>
  </si>
  <si>
    <t>Microfinance sector outstanding loans</t>
  </si>
  <si>
    <t>Outstanding loans – Microfinance sector</t>
  </si>
  <si>
    <t>RWF</t>
  </si>
  <si>
    <t>https://www.bnr.rw/documents/MPFSS_Report_March_2025.pdf</t>
  </si>
  <si>
    <t>Lending-related non-deposit-taking FSPs</t>
  </si>
  <si>
    <t>OK: matches BNR source. Non-bank.</t>
  </si>
  <si>
    <t>Deposit-taking MFI borrowers only (IMF).</t>
  </si>
  <si>
    <t>https://fred.stlouisfed.org/series/RWAFCRODMFPENUM</t>
  </si>
  <si>
    <t>NPL90 — whole microfinance sector (BNR).</t>
  </si>
  <si>
    <t>ET</t>
  </si>
  <si>
    <t>Ethiopia</t>
  </si>
  <si>
    <t>埃塞俄比亚</t>
  </si>
  <si>
    <t>Microfinance institutions gross loans</t>
  </si>
  <si>
    <t>Gross loans – Microfinance Institutions</t>
  </si>
  <si>
    <t>ETB</t>
  </si>
  <si>
    <t>https://www.wahidbusinessnews.com/media/resources/FInancial-Stability-Report_MARCH_2026_.pdf</t>
  </si>
  <si>
    <t>Microfinance institutions</t>
  </si>
  <si>
    <t>OK: value right, but the file is a mirror copy — cite NBE directly.</t>
  </si>
  <si>
    <t>MFI loan clients (NBE — same report confirms the loan figure).</t>
  </si>
  <si>
    <t>https://nbe.gov.et/wp-content/uploads/2026/03/FInancial-Stability-Report_MARCH_2026.pdf</t>
  </si>
  <si>
    <t>NPL90 — MFI sector (NBE).</t>
  </si>
  <si>
    <t>CI</t>
  </si>
  <si>
    <t>Côte d'Ivoire</t>
  </si>
  <si>
    <t>科特迪瓦</t>
  </si>
  <si>
    <t>Non-bank SFD/MFI credit outstanding (BCEAO sample)</t>
  </si>
  <si>
    <t>SFD/MFI credit outstanding (BCEAO sample)</t>
  </si>
  <si>
    <t>XOF</t>
  </si>
  <si>
    <t>https://downloads.bceao.int/sites/default/files/2026-02/Indicateurs%20au%2030%20septembre%202025.pdf</t>
  </si>
  <si>
    <t>nbfc-evidence/2026-08-10/BCEAO_SFD_20250930.pdf</t>
  </si>
  <si>
    <t>Decentralized finance / MFIs (SFD)</t>
  </si>
  <si>
    <t>OK: matches BCEAO data. Non-bank.</t>
  </si>
  <si>
    <t>SFD members incl. savers — more than borrowers.</t>
  </si>
  <si>
    <t>https://microfinance.tresor.gouv.ci/micro/wp-content/uploads/2026/03/4T2025-PDF_compressed.pdf</t>
  </si>
  <si>
    <t>PAR30 — SFD sector (Trésor CI).</t>
  </si>
  <si>
    <t>SN</t>
  </si>
  <si>
    <t>Senegal</t>
  </si>
  <si>
    <t>塞内加尔</t>
  </si>
  <si>
    <t>SFD members incl. savers (DRS-SFD).</t>
  </si>
  <si>
    <t>https://lequotidien.sn/sfd-activite-des-institutions-de-microfinance-au-1er-trimestre-2025-hausse-de-19-1-des-credits-impayes/</t>
  </si>
  <si>
    <t>NPL90 — WAEMU 90+ basis, SFD sector (DRS-SFD).</t>
  </si>
  <si>
    <t>CM</t>
  </si>
  <si>
    <t>Cameroon</t>
  </si>
  <si>
    <t>喀麦隆</t>
  </si>
  <si>
    <t>EMF (microfinance) gross loans to customers</t>
  </si>
  <si>
    <t>Gross loans to EMF clients</t>
  </si>
  <si>
    <t>XAF</t>
  </si>
  <si>
    <t>https://www.beac.int/wp-content/uploads/2016/10/Rapport-annuel-de-la-COBAC-2024-PDF-14.8-Mo_compressed-1.pdf</t>
  </si>
  <si>
    <t>http://www.cameroon-tribune.cm/article.html/75338/en.html/microfinance-385-etablissements</t>
  </si>
  <si>
    <t>OK: matches COBAC data. Non-bank.</t>
  </si>
  <si>
    <t>Proxy: CEMAC-wide EMF ratio.</t>
  </si>
  <si>
    <t>https://www.investiraucameroun.com/finance/2807-22288-cemac-le-cameroun-cumule-jusqu-a-81-des-creances-en-souffrance-du-secteur-de-la-microfinance-en-2024-beac</t>
  </si>
  <si>
    <t>AO</t>
  </si>
  <si>
    <t>Angola</t>
  </si>
  <si>
    <t>安哥拉</t>
  </si>
  <si>
    <t>Microcredit companies – microcredit</t>
  </si>
  <si>
    <t>Microcredit — microcredit companies</t>
  </si>
  <si>
    <t>AOA</t>
  </si>
  <si>
    <t>https://pt.scribd.com/document/995625276/Sector-Financeiro-Nao-Bancario-Visao-Desafios-e-Perspectivas-Analdete-Garcia-Directora-Do-DSN-Do-BNA</t>
  </si>
  <si>
    <t>Credit companies (non-bank)</t>
  </si>
  <si>
    <t>https://expansao.co.ao/empresas/detalhe/activo-das-ifnbs-cresce-609-no-i-trimestre-para-1912-mil-milhoes-kz-66996.html</t>
  </si>
  <si>
    <t>FLAG-SOURCE: the 'official' file is a Scribd re-upload — cite BNA directly. Value looks plausible.</t>
  </si>
  <si>
    <t>Proxy: African microcredit peer median.</t>
  </si>
  <si>
    <t>MZ</t>
  </si>
  <si>
    <t>Mozambique</t>
  </si>
  <si>
    <t>莫桑比克</t>
  </si>
  <si>
    <t>Credit to individuals (banking system)</t>
  </si>
  <si>
    <t>Credit to individuals</t>
  </si>
  <si>
    <t>MZN</t>
  </si>
  <si>
    <t>https://observador.pt/2025/03/12/stock-do-credito-a-economia-mocambicana-sobe-35-em-2024-para-mais-de-4-100-milhoes-de-euros/</t>
  </si>
  <si>
    <t>Microcredit operators</t>
  </si>
  <si>
    <t>https://www.bancomoc.mz/media/h2sh1frd/relat%C3%B3rio-anual-2025.pdf</t>
  </si>
  <si>
    <t>FLAG-SCOPE: bank loans to individuals, not non-bank.</t>
  </si>
  <si>
    <t>Proxy: 6.3% of adults (Findex 2024).</t>
  </si>
  <si>
    <t>https://api.worldbank.org/v2/sources/28/country/MZ/series/fin22a/data?format=json (World Bank Global Findex, fin22a) + SP.POP series for adults 15+</t>
  </si>
  <si>
    <t>Proxy: whole-bank NPL (Bank of Mozambique).</t>
  </si>
  <si>
    <t>https://www.bancomoc.mz/media/zvlk2dkr/relat%C3%B3rio-de-estabilidade-financeira-2025.pdf</t>
  </si>
  <si>
    <t>ZM</t>
  </si>
  <si>
    <t>Zambia</t>
  </si>
  <si>
    <t>赞比亚</t>
  </si>
  <si>
    <t>Non-bank personal/consumer</t>
  </si>
  <si>
    <t>Outstanding loans at deposit-taking MFIs</t>
  </si>
  <si>
    <t>ZMW</t>
  </si>
  <si>
    <t>2023-12-31</t>
  </si>
  <si>
    <t>https://fred.stlouisfed.org/series/ZMBFCSODMFXDC</t>
  </si>
  <si>
    <t>Consumer/enterprise non-deposit MFIs</t>
  </si>
  <si>
    <t>https://www.boz.zm/sites/default/files/2026-01/Bank_of_Zambia_2024_Annual_Report.pdf</t>
  </si>
  <si>
    <t>OK: deposit-taking MFIs only; data is from 2023 (old).</t>
  </si>
  <si>
    <t>Deposit-taking MFI borrowers (IMF FAS).</t>
  </si>
  <si>
    <t>https://fred.stlouisfed.org/series/ZMBFCRODMFPENUM</t>
  </si>
  <si>
    <t>Proxy: public-worker loans only (BoZ).</t>
  </si>
  <si>
    <t>https://www.boz.zm/sites/default/files/2026-04/Financial%20Stability%20Report%20April%202026.pdf</t>
  </si>
  <si>
    <t>ZW</t>
  </si>
  <si>
    <t>Zimbabwe</t>
  </si>
  <si>
    <t>津巴布韦</t>
  </si>
  <si>
    <t>Microfinance industry outstanding loans</t>
  </si>
  <si>
    <t>Total loans – Microfinance industry</t>
  </si>
  <si>
    <t>ZiG</t>
  </si>
  <si>
    <t>https://www.rbz.co.zw/documents/bank_sup/MFIs_Quarterly_Reports/2025/Quarterly_Microfinance_Industry_Report_as_at_31_December_2025_Final.pdf</t>
  </si>
  <si>
    <t>Credit-only MFIs</t>
  </si>
  <si>
    <t>https://www.rbz.co.zw/documents/bank_sup/BANKING_SECTOR_QUARTERLY_INDUSTRY_REPORT/2024/BSD_Annual_Report_2024.pdf</t>
  </si>
  <si>
    <t>OK: ZiG 7.19bn confirmed inside the cited RBZ report (earlier doubt withdrawn).</t>
  </si>
  <si>
    <t>Active loan clients (RBZ — same report as the loan figure).</t>
  </si>
  <si>
    <t>PAR30 — sector-wide (RBZ, same report as loan figure).</t>
  </si>
  <si>
    <t>BW</t>
  </si>
  <si>
    <t>Botswana</t>
  </si>
  <si>
    <t>博茨瓦纳</t>
  </si>
  <si>
    <t>Micro-lenders loan book</t>
  </si>
  <si>
    <t>Micro-lender loans to households (BoB Household Indebtedness Survey)</t>
  </si>
  <si>
    <t>BWP</t>
  </si>
  <si>
    <t>https://www.bankofbotswana.bw/sites/default/files/publications/Financial%20Stability%20Report%20October%202025-.pdf</t>
  </si>
  <si>
    <t>Non-bank lenders (NBFIRA: micro-lenders, finance/leasing companies, pawnshops)</t>
  </si>
  <si>
    <t>2024-03-31</t>
  </si>
  <si>
    <t>https://www.nbfira.org.bw/wp-content/uploads/2025/01/nbfira-annual-report-2024.pdf</t>
  </si>
  <si>
    <t>CHANGED (cells G62, I62; earlier X62): loan 8.761bn -&gt; 8.5bn BWP ($0.61bn), as-of -&gt; Dec-2024. The old figure matched NBFIRA's total-ASSETS number (8.731bn, whole non-bank sector), not any loan book; replaced with the Bank of Botswana Household Indebtedness Survey figure: P8.5bn micro-lender loans to households at Dec-2024 (Dec-2023 was P6.4bn). Newer date, correct metric, official source. Count change kept: 282 -&gt; 407 non-bank lenders (NBFIRA AR2024 Table 2.1). Sources: https://www.bankofbotswana.bw/sites/default/files/publications/Financial%20Stability%20Report%20October%202025-.pdf (BoB Household Indebtedness Survey: P8.5bn micro-lender loans, Dec-2024); corroborated: https://dailynews.gov.bw/news-detail/88676</t>
  </si>
  <si>
    <t>Proxy: Namibia peer arrears.</t>
  </si>
  <si>
    <t>NA</t>
  </si>
  <si>
    <t>Namibia</t>
  </si>
  <si>
    <t>纳米比亚</t>
  </si>
  <si>
    <t>Microlending loan book</t>
  </si>
  <si>
    <t>Microlending total loan book</t>
  </si>
  <si>
    <t>NAD</t>
  </si>
  <si>
    <t>https://thebrief.com.na/2026/04/entrepo-letshego-and-old-mutual-control-80-5-of-namibias-n6-9bn-term-lending-market/</t>
  </si>
  <si>
    <t>Micro lenders</t>
  </si>
  <si>
    <t>2025-Q4</t>
  </si>
  <si>
    <t>FLAG-SOURCE: source is an aggregator site — cite NAMFISA.</t>
  </si>
  <si>
    <t>Household borrowers at microlenders (NAMFISA).</t>
  </si>
  <si>
    <t>https://neweralive.na/cash-loan-lending-up-13-number-of-borrowers-up-to-260-000/</t>
  </si>
  <si>
    <t>Proxy: all arrears buckets (NAMFISA).</t>
  </si>
  <si>
    <t>2024-Q4</t>
  </si>
  <si>
    <t>https://thebrief.com.na/2025/04/namibians-owe-microlenders-n8-1-billion/</t>
  </si>
  <si>
    <t>MU</t>
  </si>
  <si>
    <t>Mauritius</t>
  </si>
  <si>
    <t>毛里求斯</t>
  </si>
  <si>
    <t>NBDTI loans to households</t>
  </si>
  <si>
    <t>NBDTIs loans to Households excl. housing (net)</t>
  </si>
  <si>
    <t>MUR</t>
  </si>
  <si>
    <t>2025-11-30</t>
  </si>
  <si>
    <t>https://www.bom.mu/sites/default/files/msb_-_december_2025_issue.pdf</t>
  </si>
  <si>
    <t>Non-bank deposit-taking institutions</t>
  </si>
  <si>
    <t>https://www.bom.mu/sites/default/files/pdf/Research_and_Publications/Monthly_Statistical_Bulletin/msb_june_2025.pdf</t>
  </si>
  <si>
    <t>CHANGED (cells G64=AE64-AF64, I64): VERIFIED BY DIRECT INSPECTION — Kimderson opened BOM's Monthly Statistical Bulletin (Dec-2025), Table 19: households total Rs 59,189M matches the file exactly. The table also shows 'Of which: Housing 19,379M' (~33%) — deducted per the senior's mortgage policy: net Rs 39,810M (~$0.88bn). Earlier 'not machine-verifiable' flag closed. Scope: non-bank deposit-taking institutions (pure non-bank).</t>
  </si>
  <si>
    <t>https://www.bom.mu/sites/default/files/financial_stability_report_june_2025.pdf</t>
  </si>
  <si>
    <t>Proxy: banks' non-housing household NPL.</t>
  </si>
  <si>
    <t>MG</t>
  </si>
  <si>
    <t>Madagascar</t>
  </si>
  <si>
    <t>马达加斯加</t>
  </si>
  <si>
    <t>Outstanding loans — deposit-taking MFIs (IMF FAS)</t>
  </si>
  <si>
    <t>MGA</t>
  </si>
  <si>
    <t>https://fred.stlouisfed.org/series/MDGFCSODMFXDC</t>
  </si>
  <si>
    <t>2023-12</t>
  </si>
  <si>
    <t>https://2424.mg/secteur-financier-24-millions-de-clients-pour-les-institutions-de-microfinance/</t>
  </si>
  <si>
    <t>CHANGED (cell G65, I65): loan 663bn -&gt; 769.5bn MGA. Old source was a dead blog; replaced with the official IMF figure (2023, deposit-taking MFIs). Source: https://fred.stlouisfed.org/series/MDGFCSODMFXDC</t>
  </si>
  <si>
    <t>Deposit-taking MFI borrowers, 2023 (matches loan year).</t>
  </si>
  <si>
    <t>https://fred.stlouisfed.org/series/MDGFCRODMFPENUM</t>
  </si>
  <si>
    <t>Proxy: MFI peer median.</t>
  </si>
  <si>
    <t>BJ</t>
  </si>
  <si>
    <t>Benin</t>
  </si>
  <si>
    <t>贝宁</t>
  </si>
  <si>
    <t>Proxy: book ÷ UMOA average ticket.</t>
  </si>
  <si>
    <t>https://www.bceao.int/sites/default/files/2026-02/Situation%20de%20la%20microfinance%20%C3%A0%20fin%20septembre%202025.pdf (UMOA: 20.09m beneficiaries, XOF 2,780bn credit -&gt; avg 138,404 XOF/beneficiary)</t>
  </si>
  <si>
    <t>Proxy: UMOA-wide SFD ratio.</t>
  </si>
  <si>
    <t>https://www.agenceecofin.com/actualites-finance/0408-140748-umoa-le-taux-de-degradation-du-portefeuille-des-microfinances-recul-a-7-5-a-fin-2025</t>
  </si>
  <si>
    <t>BF</t>
  </si>
  <si>
    <t>Burkina Faso</t>
  </si>
  <si>
    <t>布基纳法索</t>
  </si>
  <si>
    <t>ML</t>
  </si>
  <si>
    <t>Mali</t>
  </si>
  <si>
    <t>马里</t>
  </si>
  <si>
    <t>CD</t>
  </si>
  <si>
    <t>DR Congo</t>
  </si>
  <si>
    <t>刚果（金）</t>
  </si>
  <si>
    <t>Microfinance sector credits</t>
  </si>
  <si>
    <t>https://www.radiookapi.net/2024/07/23/actualite/societe/rdc-laccroissement-des-activites-de-la-microfinance-evalue-130-millions</t>
  </si>
  <si>
    <t>https://deskeco.com/2026/08/05/microfinance-la-bcc-reaffirme-son-engagement-en-faveur-de-linclusion-financiere</t>
  </si>
  <si>
    <t>OK: 2023 data (old); quoted in USD; semi-official.</t>
  </si>
  <si>
    <t>Proxy: African MFI peer median.</t>
  </si>
  <si>
    <t>GA</t>
  </si>
  <si>
    <t>Gabon</t>
  </si>
  <si>
    <t>加蓬</t>
  </si>
  <si>
    <t>https://www.agenceecofin.com/actualites-finance/1404-127536-gabon-croissance-du-secteur-de-la-microfinance-au-4e-trimestre-2024</t>
  </si>
  <si>
    <t>US</t>
  </si>
  <si>
    <t>United States</t>
  </si>
  <si>
    <t>美国</t>
  </si>
  <si>
    <t>Finance company consumer receivables (incl. auto/leases)</t>
  </si>
  <si>
    <t>Finance companies — consumer loans &amp; leases owned and managed (G.20 SA)</t>
  </si>
  <si>
    <t>https://www.federalreserve.gov/releases/g20/current/</t>
  </si>
  <si>
    <r>
      <rPr>
        <sz val="11"/>
        <color theme="1"/>
        <rFont val="Calibri"/>
        <family val="2"/>
        <charset val="1"/>
      </rPr>
      <t>Prior JSON≈1969.0bn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verified≈924.0bn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</si>
  <si>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North America</t>
  </si>
  <si>
    <t>Finance companies / other nonbank lenders (census mailing universe)</t>
  </si>
  <si>
    <t>2010</t>
  </si>
  <si>
    <t>https://www.federalreserve.gov/pubs/feds/2013/201313/201313pap.pdf</t>
  </si>
  <si>
    <t>CHANGED (cell X71): count 13,000 -&gt; 5,346. 13,000 was the Fed's mailing list, not a company count; 5,346 is the Fed's only published estimate of active firms (2010). Loan figure verified (Fed G.20; still preliminary). True non-bank. Source: https://www.federalreserve.gov/pubs/feds/2013/201313/201313pap.pdf (Table 7)</t>
  </si>
  <si>
    <t>People with personal loans — narrower than this row.</t>
  </si>
  <si>
    <t>2026-Q2</t>
  </si>
  <si>
    <t>https://newsroom.transunion.com/Q2-2026-CIIR/</t>
  </si>
  <si>
    <t>DPD60 — unsecured personal loans (TransUnion); 30+ not published.</t>
  </si>
  <si>
    <t>CA</t>
  </si>
  <si>
    <t>Canada</t>
  </si>
  <si>
    <t>加拿大</t>
  </si>
  <si>
    <t>Household non-mortgage loans (all lenders)</t>
  </si>
  <si>
    <t>Household non-mortgage loans (raw)</t>
  </si>
  <si>
    <t>CAD</t>
  </si>
  <si>
    <t>https://www150.statcan.gc.ca/t1/tbl1/en/tv.action?pid=3610063901</t>
  </si>
  <si>
    <t>nbfc-evidence/2026-08-10/CA_StatCan_36100639.zip</t>
  </si>
  <si>
    <r>
      <rPr>
        <sz val="11"/>
        <color theme="1"/>
        <rFont val="Calibri"/>
        <family val="2"/>
        <charset val="1"/>
      </rPr>
      <t>Prior JSON≈120.0bn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verified≈604.2bn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</si>
  <si>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OSFI federally regulated loan companies</t>
  </si>
  <si>
    <t>https://open.canada.ca/data/dataset/b27ec3ef-7338-4e76-a6fd-128339a92df5/resource/945045fa-2de0-47d4-aad2-144d69467824/download/who_we_regulate_fi_eng.csv</t>
  </si>
  <si>
    <t>CHANGED (cell X72): count 12 -&gt; 10. Current OSFI register lists 10 loan companies (2 closing down). Loan value verified exactly. Also FLAG-SCOPE: the loan is ALL lenders' non-mortgage loans, and the counted companies are mostly banks' mortgage arms — different groups. Source: https://open.canada.ca/data/dataset/b27ec3ef-7338-4e76-a6fd-128339a92df5/resource/945045fa-2de0-47d4-aad2-144d69467824/download/who_we_regulate_fi_eng.csv</t>
  </si>
  <si>
    <t>All credit-active consumers (Equifax) — wider than this row.</t>
  </si>
  <si>
    <t>https://www.globenewswire.com/news-release/2026/05/26/3300854/0/en/The-Resilient-North-Equifax-Canada-Data-Shows-Consumers-Leaning-on-Financial-Discipline-to-Offset-Macroeconomic-Conditions.html</t>
  </si>
  <si>
    <t>NPL90 — non-mortgage 90+ (Equifax).</t>
  </si>
  <si>
    <t>https://assets.equifax.com/marketing/canada/assets/q1-2026-consumer-trends-report-en.pdf</t>
  </si>
  <si>
    <t>GB</t>
  </si>
  <si>
    <t>United Kingdom</t>
  </si>
  <si>
    <t>英国</t>
  </si>
  <si>
    <t>Consumer credit outstanding (SA, excl. SLC)</t>
  </si>
  <si>
    <t>GBP</t>
  </si>
  <si>
    <t>https://www.bankofengland.co.uk/-/media/boe/files/statistics/money-and-credit/2026/tables-a-and-k-june-2026.xlsx</t>
  </si>
  <si>
    <t>nbfc-evidence/2026-08-10/GB_BoE_Money_Credit_Tables_June_2026.xlsx</t>
  </si>
  <si>
    <r>
      <rPr>
        <sz val="11"/>
        <color theme="1"/>
        <rFont val="Calibri"/>
        <family val="2"/>
        <charset val="1"/>
      </rPr>
      <t>Prior JSON≈180.0bn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verified≈328.6bn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</si>
  <si>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Firms with FCA consumer credit lending permission</t>
  </si>
  <si>
    <t>https://www.fca.org.uk/publication/policy/ps24-3.pdf</t>
  </si>
  <si>
    <t>FLAG-SCOPE: all-lender series (mostly banks), not non-bank. Value cross-checks with official data.</t>
  </si>
  <si>
    <t>Adults with consumer credit (FCA survey, 2024).</t>
  </si>
  <si>
    <t>2024-05</t>
  </si>
  <si>
    <t>https://www.fca.org.uk/publication/financial-lives/fls-2024-credit-loans.pdf</t>
  </si>
  <si>
    <t>Proxy: credit-card missed payments only (FICO).</t>
  </si>
  <si>
    <t>https://www.businesswire.com/news/home/20260624361500/en/FICO-UK-Credit-Card-Market-Report-April-2026</t>
  </si>
  <si>
    <t>DE</t>
  </si>
  <si>
    <t>Germany</t>
  </si>
  <si>
    <t>德国</t>
  </si>
  <si>
    <t>MFI credit for consumption to households (stocks)</t>
  </si>
  <si>
    <t>EUR</t>
  </si>
  <si>
    <t>https://data.ecb.europa.eu/data/datasets/BSI/BSI.M.DE.N.A.A21.A.1.U2.2250.Z01.E</t>
  </si>
  <si>
    <r>
      <rPr>
        <sz val="11"/>
        <color theme="1"/>
        <rFont val="Calibri"/>
        <family val="2"/>
        <charset val="1"/>
      </rPr>
      <t>Prior JSON≈95.0bn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verified≈222.8bn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</si>
  <si>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Finance leasing &amp; factoring institutions</t>
  </si>
  <si>
    <t>https://www.bafin.de/DE/die-bafin/publikationen-daten/jahresbericht/jahresbericht-2025/unternehmensaufsicht/kreditinstitute/kreditinstitute_node.html</t>
  </si>
  <si>
    <t>FLAG-SCOPE: 'MFI' means banks here — this is bank lending, not non-bank.</t>
  </si>
  <si>
    <t>Loan contracts, not people (SCHUFA).</t>
  </si>
  <si>
    <t>https://www.bafin.de/DE/die-bafin/publikationen-daten/risiken-im-fokus/Fokusrisiken_2026/RIF_Verbraucher_1/RIF_verbraucher_kreditkonsumfinzierung.html</t>
  </si>
  <si>
    <t>Default-flow: loans not serviced (SCHUFA, 2022).</t>
  </si>
  <si>
    <t>2022</t>
  </si>
  <si>
    <t>https://www.schufa.de/media/bilder/ueber-uns/presse/studien-publikationen/schufa_risiko-kredit-kompass-2023.pdf</t>
  </si>
  <si>
    <t>FR</t>
  </si>
  <si>
    <t>France</t>
  </si>
  <si>
    <t>法国</t>
  </si>
  <si>
    <t>https://data.ecb.europa.eu/data/datasets/BSI/BSI.M.FR.N.A.A21.A.1.U2.2250.Z01.E</t>
  </si>
  <si>
    <r>
      <rPr>
        <sz val="11"/>
        <color theme="1"/>
        <rFont val="Calibri"/>
        <family val="2"/>
        <charset val="1"/>
      </rPr>
      <t>Prior JSON≈85.0bn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verified≈224.9bn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</si>
  <si>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ACPR-licensed finance companies</t>
  </si>
  <si>
    <t>https://acpr.banque-france.fr/system/files/2026-05/20260521_ACPR_Rapport_Annuel_2025.pdf</t>
  </si>
  <si>
    <t>FLAG-SCOPE: 'MFI' means banks here — bank lending, not non-bank.</t>
  </si>
  <si>
    <t>Households with consumer credit (OCM observatory).</t>
  </si>
  <si>
    <t>2025-11</t>
  </si>
  <si>
    <t>https://www.fbf.fr/uploads/2026/03/OCM-Tableau-de-bord-diaporama-Fevrier-2026.pdf</t>
  </si>
  <si>
    <t>NPL90 — all household loans incl. housing (diluted).</t>
  </si>
  <si>
    <t>https://www.fbf.fr/uploads/2026/03/Le-financement-des-particuliers-Mars-2026-1.pdf</t>
  </si>
  <si>
    <t>NL</t>
  </si>
  <si>
    <t>Netherlands</t>
  </si>
  <si>
    <t>荷兰</t>
  </si>
  <si>
    <t>https://data.ecb.europa.eu/data/datasets/BSI/BSI.M.NL.N.A.A21.A.1.U2.2250.Z01.E</t>
  </si>
  <si>
    <r>
      <rPr>
        <sz val="11"/>
        <color theme="1"/>
        <rFont val="Calibri"/>
        <family val="2"/>
        <charset val="1"/>
      </rPr>
      <t>Prior JSON≈35.0bn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verified≈7.4bn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</si>
  <si>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AFM credit-provider licence holders</t>
  </si>
  <si>
    <t>https://www.afm.nl/nl-nl/sector/registers/vergunningenregisters/financiele-dienstverleners?Filter1=2</t>
  </si>
  <si>
    <t>People with registered credit, all lenders (BKR).</t>
  </si>
  <si>
    <t>https://www.bkr.nl/nl/inzichtelijk/bkr-monitor-2025</t>
  </si>
  <si>
    <t>Proxy: 6.1% of people flagged in arrears (BKR).</t>
  </si>
  <si>
    <t>ES</t>
  </si>
  <si>
    <t>Spain</t>
  </si>
  <si>
    <t>西班牙</t>
  </si>
  <si>
    <t>https://data.ecb.europa.eu/data/datasets/BSI/BSI.M.ES.N.A.A21.A.1.U2.2250.Z01.E</t>
  </si>
  <si>
    <r>
      <rPr>
        <sz val="11"/>
        <color theme="1"/>
        <rFont val="Calibri"/>
        <family val="2"/>
        <charset val="1"/>
      </rPr>
      <t>Prior JSON≈55.0bn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verified≈129.5bn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</si>
  <si>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Credit financial establishments (EFC)</t>
  </si>
  <si>
    <t>https://www.bde.es/f/webbe/Secciones/Publicaciones/PublicacionesAnuales/MemoriaSupervisionBancaria/25/MemoriaSupervision2025_Cap4.pdf</t>
  </si>
  <si>
    <t>Proxy: 51.9% of adults (Findex 2021).</t>
  </si>
  <si>
    <t>https://api.worldbank.org/v2/sources/28/country/ES/series/fin22a/data?format=json (World Bank Global Findex, fin22a) + SP.POP series for adults 15+</t>
  </si>
  <si>
    <t>NPL90 — consumer-finance establishments dudosos (BdE data).</t>
  </si>
  <si>
    <t>https://forbes.es/economia/629299/la-morosidad-de-las-financieras-de-credito-cae-por-debajo-del-6-en-diciembre-y-vuelve-a-niveles-prepandemia/</t>
  </si>
  <si>
    <t>PT</t>
  </si>
  <si>
    <t>Portugal</t>
  </si>
  <si>
    <t>葡萄牙</t>
  </si>
  <si>
    <t>https://data.ecb.europa.eu/data/datasets/BSI/BSI.M.PT.N.A.A21.A.1.U2.2250.Z01.E</t>
  </si>
  <si>
    <r>
      <rPr>
        <sz val="11"/>
        <color theme="1"/>
        <rFont val="Calibri"/>
        <family val="2"/>
        <charset val="1"/>
      </rPr>
      <t>Prior JSON≈18.0bn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verified≈24.5bn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</si>
  <si>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Credit finance companies (SFC)</t>
  </si>
  <si>
    <t>https://www.bportugal.pt/sites/default/files/documents/2026-01/BO_1_2026.pdf</t>
  </si>
  <si>
    <t>Proxy: 30.4% of adults (Findex 2021).</t>
  </si>
  <si>
    <t>https://api.worldbank.org/v2/sources/28/country/PT/series/fin22a/data?format=json (World Bank Global Findex, fin22a) + SP.POP series for adults 15+</t>
  </si>
  <si>
    <t>Proxy: 8.1% of contracts in default (BdP).</t>
  </si>
  <si>
    <t>https://www.distribuicaohoje.com/pagamentos/credito-ao-consumo/</t>
  </si>
  <si>
    <t>IT</t>
  </si>
  <si>
    <t>Italy</t>
  </si>
  <si>
    <t>意大利</t>
  </si>
  <si>
    <t>https://data.ecb.europa.eu/data/datasets/BSI/BSI.M.IT.N.A.A21.A.1.U2.2250.Z01.E</t>
  </si>
  <si>
    <r>
      <rPr>
        <sz val="11"/>
        <color theme="1"/>
        <rFont val="Calibri"/>
        <family val="2"/>
        <charset val="1"/>
      </rPr>
      <t>Prior JSON≈60.0bn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verified≈147.1bn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</si>
  <si>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Financial intermediaries (Art. 106 TUB)</t>
  </si>
  <si>
    <t>https://www.bancaditalia.it/pubblicazioni/relazione-annuale/2025/app_2025_totale.pdf</t>
  </si>
  <si>
    <t>FLAG-SCOPE: 'MFI' means banks here — bank lending, not non-bank. (The EUR135bn is right for this series; the ~92bn sometimes quoted is a narrower one.)</t>
  </si>
  <si>
    <t>Proxy: 55.0% of adults (Findex 2021).</t>
  </si>
  <si>
    <t>https://api.worldbank.org/v2/sources/28/country/IT/series/fin22a/data?format=json (World Bank Global Findex, fin22a) + SP.POP series for adults 15+</t>
  </si>
  <si>
    <t>Default-flow: CRIF 90+ default rate.</t>
  </si>
  <si>
    <t>https://www.creditvillage.news/2026/06/26/credito-alle-famiglie-consumo-in-crescita-frenano-i-mutui-nel-credit-outlook-2026-di-crif/</t>
  </si>
  <si>
    <t>SE</t>
  </si>
  <si>
    <t>Sweden</t>
  </si>
  <si>
    <t>瑞典</t>
  </si>
  <si>
    <t>https://data.ecb.europa.eu/data/datasets/BSI/BSI.M.SE.N.A.A21.A.1.U6.2250.Z01.E</t>
  </si>
  <si>
    <r>
      <rPr>
        <sz val="11"/>
        <color theme="1"/>
        <rFont val="Calibri"/>
        <family val="2"/>
        <charset val="1"/>
      </rPr>
      <t>Prior JSON≈40.0bn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verified≈31.5bn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</si>
  <si>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Consumer credit institutions (main activity)</t>
  </si>
  <si>
    <t>https://www.fi.se/sv/vara-register/foretagsregistret/?huvudkategori=Konsumentkreditinstitut</t>
  </si>
  <si>
    <t>FLAG-SCOPE: 'MFI' means banks here — bank lending, not non-bank. (Source reports Sweden in EUR.)</t>
  </si>
  <si>
    <t>Borrowers with consumption loans (FI sample).</t>
  </si>
  <si>
    <t>https://www.fi.se/sv/publicerat/rapporter/rapporter/2025/fler-lantagare-far-betalningsproblem-i-samre-tider2/</t>
  </si>
  <si>
    <t>Proxy: EU peer-range midpoint.</t>
  </si>
  <si>
    <t>PL</t>
  </si>
  <si>
    <t>Poland</t>
  </si>
  <si>
    <t>波兰</t>
  </si>
  <si>
    <t>https://data.ecb.europa.eu/data/datasets/BSI/BSI.M.PL.N.A.A21.A.1.U6.2250.Z01.E</t>
  </si>
  <si>
    <r>
      <rPr>
        <sz val="11"/>
        <color theme="1"/>
        <rFont val="Calibri"/>
        <family val="2"/>
        <charset val="1"/>
      </rPr>
      <t>Prior JSON≈45.0bn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verified≈62.1bn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</si>
  <si>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Non-bank lending institutions</t>
  </si>
  <si>
    <t>https://www.knf.gov.pl/knf/en/komponenty/img/Report_on_the_activities_of_the_UKNF_and_the_KNF_board_in_2024_96969.pdf</t>
  </si>
  <si>
    <t>FLAG-SCOPE: 'MFI' means banks here — bank lending, not non-bank. (Source reports Poland in EUR.)</t>
  </si>
  <si>
    <t>Credit-active people (BIK bureau).</t>
  </si>
  <si>
    <t>https://www.zbp.pl/aktualnosci/raporty-i-analizy/raport-infokredyt-2025</t>
  </si>
  <si>
    <t>NPL90 — Stage-3, bank consumer loans (KNF).</t>
  </si>
  <si>
    <t>https://www.knf.gov.pl/knf/pl/komponenty/img/Informacja_o_sytuacji_sektora_bankowego_w_2024_roku_95876.pdf</t>
  </si>
  <si>
    <t>IE</t>
  </si>
  <si>
    <t>Ireland</t>
  </si>
  <si>
    <t>爱尔兰</t>
  </si>
  <si>
    <t>https://data.ecb.europa.eu/data/datasets/BSI/BSI.M.IE.N.A.A21.A.1.U2.2250.Z01.E</t>
  </si>
  <si>
    <r>
      <rPr>
        <sz val="11"/>
        <color theme="1"/>
        <rFont val="Calibri"/>
        <family val="2"/>
        <charset val="1"/>
      </rPr>
      <t>Prior JSON≈22.0bn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verified≈15.8bn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</si>
  <si>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Retail credit firms</t>
  </si>
  <si>
    <t>https://registers.centralbank.ie/DownloadsPage.aspx</t>
  </si>
  <si>
    <t>Credit agreements, not people (central register).</t>
  </si>
  <si>
    <t>https://www.centralbank.ie/docs/default-source/publications/financial-stability-notes/overview-of-non-mortgage-consumer-credit-market-in-ireland.pdf?sfvrsn=5a19631a_10</t>
  </si>
  <si>
    <t>NPL90 — bank consumer credit (CBI, 2023 — dated).</t>
  </si>
  <si>
    <t>HK</t>
  </si>
  <si>
    <t>Hong Kong</t>
  </si>
  <si>
    <t>中国香港</t>
  </si>
  <si>
    <t>Loans for other private purposes (authorized institutions)</t>
  </si>
  <si>
    <t>Loans for other private purposes (AIs)</t>
  </si>
  <si>
    <t>HKD</t>
  </si>
  <si>
    <t>https://www.hkma.gov.hk/media/eng/doc/market-data-and-statistics/monthly-statistical-bulletin/T030501.xls</t>
  </si>
  <si>
    <r>
      <rPr>
        <sz val="11"/>
        <color theme="1"/>
        <rFont val="Calibri"/>
        <family val="2"/>
        <charset val="1"/>
      </rPr>
      <t>Prior JSON≈35.0bn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verified≈96.0bn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</si>
  <si>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Advanced economy|WB High income|OECD No</t>
  </si>
  <si>
    <t>Licensed moneylenders</t>
  </si>
  <si>
    <t>https://www.cr.gov.hk/en/services/money-lenders/statistics/Number.htm</t>
  </si>
  <si>
    <t>FLAG-SCOPE: these are banks' loans, and the count (1,962) is moneylender licences — different group. Value verified exactly.</t>
  </si>
  <si>
    <t>Proxy: 70.0% of adults (Findex 2021).</t>
  </si>
  <si>
    <t>https://api.worldbank.org/v2/sources/28/country/HK/series/fin22a/data?format=json (World Bank Global Findex, fin22a) + SP.POP series for adults 15+</t>
  </si>
  <si>
    <t>DPD60 — unsecured personal loans (TransUnion).</t>
  </si>
  <si>
    <t>https://newsroom.transunion.hk/strong-spending-lifts-credit-card-and-personal-loan-balances-in-hong-kongs-consumer-credit-market/</t>
  </si>
  <si>
    <t>SG</t>
  </si>
  <si>
    <t>Singapore</t>
  </si>
  <si>
    <t>新加坡</t>
  </si>
  <si>
    <t>Household personal loans</t>
  </si>
  <si>
    <t>SGD</t>
  </si>
  <si>
    <t>https://www.businesstimes.com.sg/singapore/singapore-households-net-wealth-also-taking-more-debt-such-home-loans</t>
  </si>
  <si>
    <t>2026-03-01</t>
  </si>
  <si>
    <t>https://rom.mlaw.gov.sg/files/ML%20Lists/List_of_Licensed_Moneylenders_as_at_1_March_2026.pdf</t>
  </si>
  <si>
    <t>FLAG-SCOPE: all-lender household loans, not non-bank; count (153 moneylenders) is a different group. Value confirmed.</t>
  </si>
  <si>
    <t>Proxy: 42.8% of adults (Findex 2021).</t>
  </si>
  <si>
    <t>https://api.worldbank.org/v2/sources/28/country/SG/series/fin22a/data?format=json (World Bank Global Findex, fin22a) + SP.POP series for adults 15+</t>
  </si>
  <si>
    <t>Proxy: regional peers (HK, MY).</t>
  </si>
  <si>
    <t>RU</t>
  </si>
  <si>
    <t>Russia</t>
  </si>
  <si>
    <t>俄罗斯</t>
  </si>
  <si>
    <t>Bank household consumer loans outstanding</t>
  </si>
  <si>
    <t>Household consumer loans (bank balance)</t>
  </si>
  <si>
    <t>RUB</t>
  </si>
  <si>
    <t>https://cbr.ru/eng/statistics/macro_itm/households/pkshouse2022/</t>
  </si>
  <si>
    <r>
      <rPr>
        <sz val="11"/>
        <color theme="1"/>
        <rFont val="Calibri"/>
        <family val="2"/>
        <charset val="1"/>
      </rPr>
      <t>Prior JSON≈22.0bn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new verified≈149.9bn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Updated via local-language research</t>
    </r>
  </si>
  <si>
    <t>https://www.cbr.ru/Collection/Collection/File/62095/review_mfi_26Q1.pdf</t>
  </si>
  <si>
    <t>CHANGED (cell I85): usd 149.87 -&gt; 174.0. Wrong exchange rate used (90; actual 77.5). Also FLAG-SCOPE: bank loans — the non-bank piece is only ~RUB 161bn. Source: https://www.exchange-rates.org/exchange-rate-history/rub-usd-2026</t>
  </si>
  <si>
    <t>People with cash loans (CBR bureau data).</t>
  </si>
  <si>
    <t>https://www.cbr.ru/Collection/Collection/File/60963/inf-material_bki_2025sh.pdf</t>
  </si>
  <si>
    <t>NPL90 — 90+ overdue, unsecured consumer (CBR).</t>
  </si>
  <si>
    <t>https://rg.ru/2026/01/25/poka-ne-sozreet.html</t>
  </si>
  <si>
    <t>inst_status</t>
  </si>
  <si>
    <t>count</t>
  </si>
  <si>
    <t>count_status</t>
  </si>
  <si>
    <t>source_org</t>
  </si>
  <si>
    <t>reporting_sample</t>
  </si>
  <si>
    <t>RBI</t>
  </si>
  <si>
    <t>非全registered清单；RBI另有2026-06-30动态名录Excel，本次未逐行计数</t>
  </si>
  <si>
    <t>reporting</t>
  </si>
  <si>
    <t>PBOC</t>
  </si>
  <si>
    <t>官网正文已核</t>
  </si>
  <si>
    <t>licensed</t>
  </si>
  <si>
    <t>OJK</t>
  </si>
  <si>
    <r>
      <rPr>
        <sz val="11"/>
        <color theme="1"/>
        <rFont val="Calibri"/>
        <family val="2"/>
        <charset val="1"/>
      </rPr>
      <t>licensed</t>
    </r>
    <r>
      <rPr>
        <sz val="11"/>
        <color theme="1"/>
        <rFont val="Noto Sans CJK SC"/>
        <family val="2"/>
      </rPr>
      <t>目录</t>
    </r>
  </si>
  <si>
    <t>licensed_operating</t>
  </si>
  <si>
    <t>BOT</t>
  </si>
  <si>
    <r>
      <rPr>
        <sz val="11"/>
        <color theme="1"/>
        <rFont val="Calibri"/>
        <family val="2"/>
        <charset val="1"/>
      </rPr>
      <t>includes banks</t>
    </r>
    <r>
      <rPr>
        <sz val="11"/>
        <color theme="1"/>
        <rFont val="Noto Sans CJK SC"/>
        <family val="2"/>
      </rPr>
      <t>；纯</t>
    </r>
    <r>
      <rPr>
        <sz val="11"/>
        <color theme="1"/>
        <rFont val="Calibri"/>
        <family val="2"/>
        <charset val="1"/>
      </rPr>
      <t>non-bank</t>
    </r>
    <r>
      <rPr>
        <sz val="11"/>
        <color theme="1"/>
        <rFont val="Noto Sans CJK SC"/>
        <family val="2"/>
      </rPr>
      <t>个贷家数</t>
    </r>
    <r>
      <rPr>
        <sz val="11"/>
        <color theme="1"/>
        <rFont val="Calibri"/>
        <family val="2"/>
        <charset val="1"/>
      </rPr>
      <t>official</t>
    </r>
    <r>
      <rPr>
        <sz val="11"/>
        <color theme="1"/>
        <rFont val="Noto Sans CJK SC"/>
        <family val="2"/>
      </rPr>
      <t>未公布</t>
    </r>
  </si>
  <si>
    <t>BNM</t>
  </si>
  <si>
    <t>窄口径；licensedmoneylenders未见official合计</t>
  </si>
  <si>
    <t>registered</t>
  </si>
  <si>
    <t>AMLC (SEC supervised entities)</t>
  </si>
  <si>
    <t>名录计数；以借贷/融资类为主</t>
  </si>
  <si>
    <t>SBV</t>
  </si>
  <si>
    <t>FSA</t>
  </si>
  <si>
    <t>Official website verified</t>
  </si>
  <si>
    <r>
      <rPr>
        <sz val="11"/>
        <color theme="1"/>
        <rFont val="Calibri"/>
        <family val="2"/>
        <charset val="1"/>
      </rPr>
      <t>FSS</t>
    </r>
    <r>
      <rPr>
        <sz val="11"/>
        <color theme="1"/>
        <rFont val="Noto Sans CJK SC"/>
        <family val="2"/>
      </rPr>
      <t>（媒体转引）</t>
    </r>
  </si>
  <si>
    <r>
      <rPr>
        <sz val="11"/>
        <color theme="1"/>
        <rFont val="Calibri"/>
        <family val="2"/>
        <charset val="1"/>
      </rPr>
      <t>mediacited via</t>
    </r>
    <r>
      <rPr>
        <sz val="11"/>
        <color theme="1"/>
        <rFont val="Noto Sans CJK SC"/>
        <family val="2"/>
      </rPr>
      <t>；个别报道</t>
    </r>
    <r>
      <rPr>
        <sz val="11"/>
        <color theme="1"/>
        <rFont val="Calibri"/>
        <family val="2"/>
        <charset val="1"/>
      </rPr>
      <t>185</t>
    </r>
    <r>
      <rPr>
        <sz val="11"/>
        <color theme="1"/>
        <rFont val="Noto Sans CJK SC"/>
        <family val="2"/>
      </rPr>
      <t>，重大决策请对</t>
    </r>
    <r>
      <rPr>
        <sz val="11"/>
        <color theme="1"/>
        <rFont val="Calibri"/>
        <family val="2"/>
        <charset val="1"/>
      </rPr>
      <t>FSS PDF</t>
    </r>
  </si>
  <si>
    <t>FSC Banking Bureau</t>
  </si>
  <si>
    <t>非consumermicrofinance/microloan宇宙；台湾无印度式NBFC</t>
  </si>
  <si>
    <t>Bangladesh Bank / MRA</t>
  </si>
  <si>
    <r>
      <rPr>
        <sz val="11"/>
        <color theme="1"/>
        <rFont val="Calibri"/>
        <family val="2"/>
        <charset val="1"/>
      </rPr>
      <t>SECP</t>
    </r>
    <r>
      <rPr>
        <sz val="11"/>
        <color theme="1"/>
        <rFont val="Noto Sans CJK SC"/>
        <family val="2"/>
      </rPr>
      <t>（行业转引）</t>
    </r>
  </si>
  <si>
    <r>
      <rPr>
        <sz val="11"/>
        <color theme="1"/>
        <rFont val="Calibri"/>
        <family val="2"/>
        <charset val="1"/>
      </rPr>
      <t>SECP</t>
    </r>
    <r>
      <rPr>
        <sz val="11"/>
        <color theme="1"/>
        <rFont val="Noto Sans CJK SC"/>
        <family val="2"/>
      </rPr>
      <t>站点有摘要入口；</t>
    </r>
    <r>
      <rPr>
        <sz val="11"/>
        <color theme="1"/>
        <rFont val="Calibri"/>
        <family val="2"/>
        <charset val="1"/>
      </rPr>
      <t>PDF</t>
    </r>
    <r>
      <rPr>
        <sz val="11"/>
        <color theme="1"/>
        <rFont val="Noto Sans CJK SC"/>
        <family val="2"/>
      </rPr>
      <t>原文本次未逐字打开</t>
    </r>
  </si>
  <si>
    <t>CBSL</t>
  </si>
  <si>
    <t>registered_operating</t>
  </si>
  <si>
    <r>
      <rPr>
        <sz val="11"/>
        <color theme="1"/>
        <rFont val="Calibri"/>
        <family val="2"/>
        <charset val="1"/>
      </rPr>
      <t>CONDUSEF Buró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Credenz</t>
    </r>
    <r>
      <rPr>
        <sz val="11"/>
        <color theme="1"/>
        <rFont val="Noto Sans CJK SC"/>
        <family val="2"/>
      </rPr>
      <t>报告转引）</t>
    </r>
  </si>
  <si>
    <r>
      <rPr>
        <sz val="11"/>
        <color theme="1"/>
        <rFont val="Calibri"/>
        <family val="2"/>
        <charset val="1"/>
      </rPr>
      <t>cited viaCONDUSEF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SOFOM ERofficial</t>
    </r>
    <r>
      <rPr>
        <sz val="11"/>
        <color theme="1"/>
        <rFont val="Noto Sans CJK SC"/>
        <family val="2"/>
      </rPr>
      <t>绝对数未核到</t>
    </r>
  </si>
  <si>
    <t>BCB</t>
  </si>
  <si>
    <t>访问日计数</t>
  </si>
  <si>
    <t>CBK</t>
  </si>
  <si>
    <t>PDF downloaded and verified</t>
  </si>
  <si>
    <t>NCR</t>
  </si>
  <si>
    <r>
      <rPr>
        <sz val="11"/>
        <color theme="1"/>
        <rFont val="Calibri"/>
        <family val="2"/>
        <charset val="1"/>
      </rPr>
      <t>includes banks</t>
    </r>
    <r>
      <rPr>
        <sz val="11"/>
        <color theme="1"/>
        <rFont val="Noto Sans CJK SC"/>
        <family val="2"/>
      </rPr>
      <t>与零售商，</t>
    </r>
    <r>
      <rPr>
        <sz val="11"/>
        <color theme="1"/>
        <rFont val="Calibri"/>
        <family val="2"/>
        <charset val="1"/>
      </rPr>
      <t>broader than NBFC perimeter</t>
    </r>
  </si>
  <si>
    <t>https://ranked.ng/data/mfb-license-watch</t>
  </si>
  <si>
    <r>
      <rPr>
        <sz val="11"/>
        <color theme="1"/>
        <rFont val="Calibri"/>
        <family val="2"/>
        <charset val="1"/>
      </rPr>
      <t>CBN register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Ranked.ng</t>
    </r>
    <r>
      <rPr>
        <sz val="11"/>
        <color theme="1"/>
        <rFont val="Noto Sans CJK SC"/>
        <family val="2"/>
      </rPr>
      <t>计数）</t>
    </r>
  </si>
  <si>
    <t>含部分已撤销滞后；Finance Housesofficial合计仍缺；2026-08-11 R2: 829→785 (CBN revoked 46 licences eff. 01-Jul-2026)</t>
  </si>
  <si>
    <t>Bank of Ghana</t>
  </si>
  <si>
    <t>FRC Mongolia</t>
  </si>
  <si>
    <t>ARDFM</t>
  </si>
  <si>
    <t>另有信贷合作社209、当铺473</t>
  </si>
  <si>
    <t>Central Bank of Uzbekistan</t>
  </si>
  <si>
    <t>NBKR</t>
  </si>
  <si>
    <t>NBT</t>
  </si>
  <si>
    <t>PENDING_NO_CITABLE_COUNT</t>
  </si>
  <si>
    <t>Still no citable absolute count after local-language search</t>
  </si>
  <si>
    <t>Fogafín / SFC</t>
  </si>
  <si>
    <t>BCRA</t>
  </si>
  <si>
    <t>SBS Peru</t>
  </si>
  <si>
    <t>CMF Chile</t>
  </si>
  <si>
    <t>智利无大型独立金融公司类别；此为最接近受监管non-bank</t>
  </si>
  <si>
    <t>https://practiceguides.chambers.com/practice-guides/fintech-2026/egypt/trends-and-developments</t>
  </si>
  <si>
    <r>
      <rPr>
        <sz val="11"/>
        <color theme="1"/>
        <rFont val="Calibri"/>
        <family val="2"/>
        <charset val="1"/>
      </rPr>
      <t>Chambers Fintech 2026</t>
    </r>
    <r>
      <rPr>
        <sz val="11"/>
        <color theme="1"/>
        <rFont val="Noto Sans CJK SC"/>
        <family val="2"/>
      </rPr>
      <t>（转引</t>
    </r>
    <r>
      <rPr>
        <sz val="11"/>
        <color theme="1"/>
        <rFont val="Calibri"/>
        <family val="2"/>
        <charset val="1"/>
      </rPr>
      <t>FRA</t>
    </r>
    <r>
      <rPr>
        <sz val="11"/>
        <color theme="1"/>
        <rFont val="Noto Sans CJK SC"/>
        <family val="2"/>
      </rPr>
      <t>）</t>
    </r>
  </si>
  <si>
    <t>律所指南转述；FRA登记簿未成功计数；2026-08-11 R2: 28→48 active FRA consumer-finance licences end-2025 (3 independent sources)</t>
  </si>
  <si>
    <t>Bank Al-Maghrib</t>
  </si>
  <si>
    <t>Banque d'Algérie / Journal Officiel</t>
  </si>
  <si>
    <r>
      <rPr>
        <sz val="11"/>
        <color theme="1"/>
        <rFont val="Calibri"/>
        <family val="2"/>
        <charset val="1"/>
      </rPr>
      <t>official</t>
    </r>
    <r>
      <rPr>
        <sz val="11"/>
        <color theme="1"/>
        <rFont val="Noto Sans CJK SC"/>
        <family val="2"/>
      </rPr>
      <t>法令</t>
    </r>
    <r>
      <rPr>
        <sz val="11"/>
        <color theme="1"/>
        <rFont val="Calibri"/>
        <family val="2"/>
        <charset val="1"/>
      </rPr>
      <t>PDF verified</t>
    </r>
  </si>
  <si>
    <t>BCT</t>
  </si>
  <si>
    <r>
      <rPr>
        <sz val="11"/>
        <color theme="1"/>
        <rFont val="Calibri"/>
        <family val="2"/>
        <charset val="1"/>
      </rPr>
      <t>CBOS MFU</t>
    </r>
    <r>
      <rPr>
        <sz val="11"/>
        <color theme="1"/>
        <rFont val="Noto Sans CJK SC"/>
        <family val="2"/>
      </rPr>
      <t>（媒体转引）</t>
    </r>
  </si>
  <si>
    <t>战时实际报送仅约7家；somewhat dated</t>
  </si>
  <si>
    <r>
      <rPr>
        <sz val="11"/>
        <color theme="1"/>
        <rFont val="Calibri"/>
        <family val="2"/>
        <charset val="1"/>
      </rPr>
      <t>Arab News</t>
    </r>
    <r>
      <rPr>
        <sz val="11"/>
        <color theme="1"/>
        <rFont val="Noto Sans CJK SC"/>
        <family val="2"/>
      </rPr>
      <t>（转引</t>
    </r>
    <r>
      <rPr>
        <sz val="11"/>
        <color theme="1"/>
        <rFont val="Calibri"/>
        <family val="2"/>
        <charset val="1"/>
      </rPr>
      <t>SAMA</t>
    </r>
    <r>
      <rPr>
        <sz val="11"/>
        <color theme="1"/>
        <rFont val="Noto Sans CJK SC"/>
        <family val="2"/>
      </rPr>
      <t>）</t>
    </r>
  </si>
  <si>
    <t>新闻转述SAMA；官网名单页本次抓取失败</t>
  </si>
  <si>
    <t>CBUAE</t>
  </si>
  <si>
    <t>未含自贸区DFSA/FSRA</t>
  </si>
  <si>
    <t>CBB</t>
  </si>
  <si>
    <t>；2026-08-11: as_of corrected to fact-sheet date Apr-2024 (count itself dated Dec-2022)</t>
  </si>
  <si>
    <t>Oxford Business Group</t>
  </si>
  <si>
    <t>咨询机构报告；QCB官网未见公布合计绝对数</t>
  </si>
  <si>
    <t>市场材料（对齐CBO监管FLC）</t>
  </si>
  <si>
    <r>
      <rPr>
        <sz val="11"/>
        <color theme="1"/>
        <rFont val="Calibri"/>
        <family val="2"/>
        <charset val="1"/>
      </rPr>
      <t>CBO</t>
    </r>
    <r>
      <rPr>
        <sz val="11"/>
        <color theme="1"/>
        <rFont val="Noto Sans CJK SC"/>
        <family val="2"/>
      </rPr>
      <t>官网仍有</t>
    </r>
    <r>
      <rPr>
        <sz val="11"/>
        <color theme="1"/>
        <rFont val="Calibri"/>
        <family val="2"/>
        <charset val="1"/>
      </rPr>
      <t>2016</t>
    </r>
    <r>
      <rPr>
        <sz val="11"/>
        <color theme="1"/>
        <rFont val="Noto Sans CJK SC"/>
        <family val="2"/>
      </rPr>
      <t>年“</t>
    </r>
    <r>
      <rPr>
        <sz val="11"/>
        <color theme="1"/>
        <rFont val="Calibri"/>
        <family val="2"/>
        <charset val="1"/>
      </rPr>
      <t>6</t>
    </r>
    <r>
      <rPr>
        <sz val="11"/>
        <color theme="1"/>
        <rFont val="Noto Sans CJK SC"/>
        <family val="2"/>
      </rPr>
      <t>家”旧数；建议待新表</t>
    </r>
  </si>
  <si>
    <t>CBJ</t>
  </si>
  <si>
    <t>阿拉伯语官网页名单计数</t>
  </si>
  <si>
    <t>registered_index</t>
  </si>
  <si>
    <t>Banque du Liban</t>
  </si>
  <si>
    <t>序号提示≥48，未必等于活跃家数</t>
  </si>
  <si>
    <t>Central Bank of Iraq</t>
  </si>
  <si>
    <t>阿拉伯语官网名录计数；另有电子支付服务商约20家、担保公司1家，非同类</t>
  </si>
  <si>
    <t>CMISA</t>
  </si>
  <si>
    <r>
      <rPr>
        <sz val="11"/>
        <color theme="1"/>
        <rFont val="Calibri"/>
        <family val="2"/>
        <charset val="1"/>
      </rPr>
      <t>PMA</t>
    </r>
    <r>
      <rPr>
        <sz val="11"/>
        <color theme="1"/>
        <rFont val="Noto Sans CJK SC"/>
        <family val="2"/>
      </rPr>
      <t>（学术文献引用）</t>
    </r>
  </si>
  <si>
    <t>BDDK</t>
  </si>
  <si>
    <r>
      <rPr>
        <sz val="11"/>
        <color theme="1"/>
        <rFont val="Calibri"/>
        <family val="2"/>
        <charset val="1"/>
      </rPr>
      <t>2025–26</t>
    </r>
    <r>
      <rPr>
        <sz val="11"/>
        <color theme="1"/>
        <rFont val="Noto Sans CJK SC"/>
        <family val="2"/>
      </rPr>
      <t>有新批，更新合计未核到</t>
    </r>
  </si>
  <si>
    <t>Central Bank of Yemen</t>
  </si>
  <si>
    <t>属银行牌照下的microfinance/microloan银行，非non-bankMFI</t>
  </si>
  <si>
    <t>Bank of Tanzania</t>
  </si>
  <si>
    <r>
      <rPr>
        <sz val="11"/>
        <color theme="1"/>
        <rFont val="Calibri"/>
        <family val="2"/>
        <charset val="1"/>
      </rPr>
      <t>PDF downloaded and verified</t>
    </r>
    <r>
      <rPr>
        <sz val="11"/>
        <color theme="1"/>
        <rFont val="Noto Sans CJK SC"/>
        <family val="2"/>
      </rPr>
      <t>；另有</t>
    </r>
    <r>
      <rPr>
        <sz val="11"/>
        <color theme="1"/>
        <rFont val="Calibri"/>
        <family val="2"/>
        <charset val="1"/>
      </rPr>
      <t>FI</t>
    </r>
    <r>
      <rPr>
        <sz val="11"/>
        <color theme="1"/>
        <rFont val="Noto Sans CJK SC"/>
        <family val="2"/>
      </rPr>
      <t>年报</t>
    </r>
    <r>
      <rPr>
        <sz val="11"/>
        <color theme="1"/>
        <rFont val="Calibri"/>
        <family val="2"/>
        <charset val="1"/>
      </rPr>
      <t>2,979/</t>
    </r>
    <r>
      <rPr>
        <sz val="11"/>
        <color theme="1"/>
        <rFont val="Noto Sans CJK SC"/>
        <family val="2"/>
      </rPr>
      <t>德勤</t>
    </r>
    <r>
      <rPr>
        <sz val="11"/>
        <color theme="1"/>
        <rFont val="Calibri"/>
        <family val="2"/>
        <charset val="1"/>
      </rPr>
      <t>2,047</t>
    </r>
    <r>
      <rPr>
        <sz val="11"/>
        <color theme="1"/>
        <rFont val="Noto Sans CJK SC"/>
        <family val="2"/>
      </rPr>
      <t>不同时点</t>
    </r>
  </si>
  <si>
    <t>UMRA</t>
  </si>
  <si>
    <r>
      <rPr>
        <sz val="11"/>
        <color theme="1"/>
        <rFont val="Calibri"/>
        <family val="2"/>
        <charset val="1"/>
      </rPr>
      <t>somewhat dated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2024/25</t>
    </r>
    <r>
      <rPr>
        <sz val="11"/>
        <color theme="1"/>
        <rFont val="Noto Sans CJK SC"/>
        <family val="2"/>
      </rPr>
      <t>续牌活跃数未见更新</t>
    </r>
  </si>
  <si>
    <t>BNR</t>
  </si>
  <si>
    <t>更接近纯放贷；微金融含SACCO共434</t>
  </si>
  <si>
    <t>National Bank of Ethiopia</t>
  </si>
  <si>
    <r>
      <rPr>
        <sz val="11"/>
        <color theme="1"/>
        <rFont val="Calibri"/>
        <family val="2"/>
        <charset val="1"/>
      </rPr>
      <t>NBE FSR</t>
    </r>
    <r>
      <rPr>
        <sz val="11"/>
        <color theme="1"/>
        <rFont val="Noto Sans CJK SC"/>
        <family val="2"/>
      </rPr>
      <t>正文（</t>
    </r>
    <r>
      <rPr>
        <sz val="11"/>
        <color theme="1"/>
        <rFont val="Calibri"/>
        <family val="2"/>
        <charset val="1"/>
      </rPr>
      <t>media</t>
    </r>
    <r>
      <rPr>
        <sz val="11"/>
        <color theme="1"/>
        <rFont val="Noto Sans CJK SC"/>
        <family val="2"/>
      </rPr>
      <t>转载</t>
    </r>
    <r>
      <rPr>
        <sz val="11"/>
        <color theme="1"/>
        <rFont val="Calibri"/>
        <family val="2"/>
        <charset val="1"/>
      </rPr>
      <t>PDF</t>
    </r>
    <r>
      <rPr>
        <sz val="11"/>
        <color theme="1"/>
        <rFont val="Noto Sans CJK SC"/>
        <family val="2"/>
      </rPr>
      <t>）</t>
    </r>
  </si>
  <si>
    <t>BCEAO</t>
  </si>
  <si>
    <t>PDF verified</t>
  </si>
  <si>
    <r>
      <rPr>
        <sz val="11"/>
        <color theme="1"/>
        <rFont val="Calibri"/>
        <family val="2"/>
        <charset val="1"/>
      </rPr>
      <t>Ministère des Finances Cameroun</t>
    </r>
    <r>
      <rPr>
        <sz val="11"/>
        <color theme="1"/>
        <rFont val="Noto Sans CJK SC"/>
        <family val="2"/>
      </rPr>
      <t>（官媒）</t>
    </r>
  </si>
  <si>
    <r>
      <rPr>
        <sz val="11"/>
        <color theme="1"/>
        <rFont val="Calibri"/>
        <family val="2"/>
        <charset val="1"/>
      </rPr>
      <t>COBAC 2024</t>
    </r>
    <r>
      <rPr>
        <sz val="11"/>
        <color theme="1"/>
        <rFont val="Noto Sans CJK SC"/>
        <family val="2"/>
      </rPr>
      <t>年报为</t>
    </r>
    <r>
      <rPr>
        <sz val="11"/>
        <color theme="1"/>
        <rFont val="Calibri"/>
        <family val="2"/>
        <charset val="1"/>
      </rPr>
      <t>384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2024</t>
    </r>
    <r>
      <rPr>
        <sz val="11"/>
        <color theme="1"/>
        <rFont val="Noto Sans CJK SC"/>
        <family val="2"/>
      </rPr>
      <t>末）</t>
    </r>
  </si>
  <si>
    <r>
      <rPr>
        <sz val="11"/>
        <color theme="1"/>
        <rFont val="Calibri"/>
        <family val="2"/>
        <charset val="1"/>
      </rPr>
      <t>BNA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Expansão</t>
    </r>
    <r>
      <rPr>
        <sz val="11"/>
        <color theme="1"/>
        <rFont val="Noto Sans CJK SC"/>
        <family val="2"/>
      </rPr>
      <t>转述）</t>
    </r>
  </si>
  <si>
    <t>葡语media转述BNA</t>
  </si>
  <si>
    <t>Banco de Moçambique</t>
  </si>
  <si>
    <t>葡语official年报</t>
  </si>
  <si>
    <t>Bank of Zambia</t>
  </si>
  <si>
    <t>RBZ</t>
  </si>
  <si>
    <t>Non-bank lenders (NBFIRA)</t>
  </si>
  <si>
    <t>NBFIRA</t>
  </si>
  <si>
    <r>
      <rPr>
        <sz val="11"/>
        <color theme="1"/>
        <rFont val="Calibri"/>
        <family val="2"/>
        <charset val="1"/>
      </rPr>
      <t>non-bank</t>
    </r>
    <r>
      <rPr>
        <sz val="11"/>
        <color theme="1"/>
        <rFont val="Noto Sans CJK SC"/>
        <family val="2"/>
      </rPr>
      <t>放贷业合计</t>
    </r>
    <r>
      <rPr>
        <sz val="11"/>
        <color theme="1"/>
        <rFont val="Calibri"/>
        <family val="2"/>
        <charset val="1"/>
      </rPr>
      <t>407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2026-08-11: 282→407 per NBFIRA AR2024 Table 2.1 (team decision); covers all non-bank lenders</t>
    </r>
  </si>
  <si>
    <t>licensed_active</t>
  </si>
  <si>
    <r>
      <rPr>
        <sz val="11"/>
        <color theme="1"/>
        <rFont val="Calibri"/>
        <family val="2"/>
        <charset val="1"/>
      </rPr>
      <t>NAMFISA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The Brief</t>
    </r>
    <r>
      <rPr>
        <sz val="11"/>
        <color theme="1"/>
        <rFont val="Noto Sans CJK SC"/>
        <family val="2"/>
      </rPr>
      <t>转述）</t>
    </r>
  </si>
  <si>
    <t>建议回链NAMFISA公报核对</t>
  </si>
  <si>
    <t>Bank of Mauritius</t>
  </si>
  <si>
    <t>偏吸储/租赁</t>
  </si>
  <si>
    <r>
      <rPr>
        <sz val="11"/>
        <color theme="1"/>
        <rFont val="Calibri"/>
        <family val="2"/>
        <charset val="1"/>
      </rPr>
      <t>CSBF</t>
    </r>
    <r>
      <rPr>
        <sz val="11"/>
        <color theme="1"/>
        <rFont val="Noto Sans CJK SC"/>
        <family val="2"/>
      </rPr>
      <t>（媒体转引）</t>
    </r>
  </si>
  <si>
    <t>somewhat dated</t>
  </si>
  <si>
    <t>法语official；PDF verified</t>
  </si>
  <si>
    <r>
      <rPr>
        <sz val="11"/>
        <color theme="1"/>
        <rFont val="Calibri"/>
        <family val="2"/>
        <charset val="1"/>
      </rPr>
      <t>BCC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DeskEco</t>
    </r>
    <r>
      <rPr>
        <sz val="11"/>
        <color theme="1"/>
        <rFont val="Noto Sans CJK SC"/>
        <family val="2"/>
      </rPr>
      <t>转述</t>
    </r>
    <r>
      <rPr>
        <sz val="11"/>
        <color theme="1"/>
        <rFont val="Calibri"/>
        <family val="2"/>
        <charset val="1"/>
      </rPr>
      <t>SECOMIF</t>
    </r>
    <r>
      <rPr>
        <sz val="11"/>
        <color theme="1"/>
        <rFont val="Noto Sans CJK SC"/>
        <family val="2"/>
      </rPr>
      <t>）</t>
    </r>
  </si>
  <si>
    <t>COBAC</t>
  </si>
  <si>
    <t>survey_universe</t>
  </si>
  <si>
    <t>https://www.federalreserve.gov/newsevents/pressreleases/other20250606a.htm</t>
  </si>
  <si>
    <t>Federal Reserve Board</t>
  </si>
  <si>
    <t>非全国licensed总数；最接近official全国口径。另有合格finance companies≈2,100（2021sample框）；2026-08-11 R2: 13,000 (mailing universe) → 5,346 (Fed 2010 census universe ESTIMATE, FEDS 2013-13; only published active-universe figure)</t>
  </si>
  <si>
    <t>OSFI</t>
  </si>
  <si>
    <t>仅联邦；省级payday未纳入；2026-08-11: count 12→10 per live OSFI register (2 in liquidation)</t>
  </si>
  <si>
    <t>permission_holders</t>
  </si>
  <si>
    <t>FCA</t>
  </si>
  <si>
    <r>
      <rPr>
        <sz val="11"/>
        <color theme="1"/>
        <rFont val="Calibri"/>
        <family val="2"/>
        <charset val="1"/>
      </rPr>
      <t>≥3500</t>
    </r>
    <r>
      <rPr>
        <sz val="11"/>
        <color theme="1"/>
        <rFont val="Noto Sans CJK SC"/>
        <family val="2"/>
      </rPr>
      <t>；含持放贷许可的银行，非纯</t>
    </r>
    <r>
      <rPr>
        <sz val="11"/>
        <color theme="1"/>
        <rFont val="Calibri"/>
        <family val="2"/>
        <charset val="1"/>
      </rPr>
      <t>non-bank</t>
    </r>
  </si>
  <si>
    <t>BaFin</t>
  </si>
  <si>
    <t>最接近non-bank放贷口径</t>
  </si>
  <si>
    <t>ACPR</t>
  </si>
  <si>
    <t>AFM</t>
  </si>
  <si>
    <t>荷兰语登记册；includes banks/按揭等</t>
  </si>
  <si>
    <t>Banco de España</t>
  </si>
  <si>
    <t>Banco de Portugal</t>
  </si>
  <si>
    <t>Banca d'Italia</t>
  </si>
  <si>
    <t>Finansinspektionen</t>
  </si>
  <si>
    <t>过渡期后存量；2026-02新闻约为50</t>
  </si>
  <si>
    <t>KNF</t>
  </si>
  <si>
    <r>
      <rPr>
        <sz val="11"/>
        <color theme="1"/>
        <rFont val="Calibri"/>
        <family val="2"/>
        <charset val="1"/>
      </rPr>
      <t>2025/26</t>
    </r>
    <r>
      <rPr>
        <sz val="11"/>
        <color theme="1"/>
        <rFont val="Noto Sans CJK SC"/>
        <family val="2"/>
      </rPr>
      <t>更新合计未见</t>
    </r>
    <r>
      <rPr>
        <sz val="11"/>
        <color theme="1"/>
        <rFont val="Calibri"/>
        <family val="2"/>
        <charset val="1"/>
      </rPr>
      <t>official</t>
    </r>
    <r>
      <rPr>
        <sz val="11"/>
        <color theme="1"/>
        <rFont val="Noto Sans CJK SC"/>
        <family val="2"/>
      </rPr>
      <t>公布</t>
    </r>
  </si>
  <si>
    <t>Central Bank of Ireland</t>
  </si>
  <si>
    <t>Companies Registry HK</t>
  </si>
  <si>
    <t>Ministry of Law — Registry of Moneylenders</t>
  </si>
  <si>
    <t>evidence: SG_MinLaw_Moneylenders_20260301.pdf</t>
  </si>
  <si>
    <t>Bank of Russia</t>
  </si>
  <si>
    <t>institution_type_en</t>
  </si>
  <si>
    <t>institution_type_zh</t>
  </si>
  <si>
    <t>source_title</t>
  </si>
  <si>
    <t>quote_or_table_ref</t>
  </si>
  <si>
    <t>recommended</t>
  </si>
  <si>
    <t>NBFC (UL+ML supervisory returns sample)</t>
  </si>
  <si>
    <r>
      <rPr>
        <sz val="11"/>
        <color theme="1"/>
        <rFont val="Calibri"/>
        <family val="2"/>
        <charset val="1"/>
      </rPr>
      <t>NBFC</t>
    </r>
    <r>
      <rPr>
        <sz val="11"/>
        <color theme="1"/>
        <rFont val="Noto Sans CJK SC"/>
        <family val="2"/>
      </rPr>
      <t>（上层</t>
    </r>
    <r>
      <rPr>
        <sz val="11"/>
        <color theme="1"/>
        <rFont val="Calibri"/>
        <family val="2"/>
        <charset val="1"/>
      </rPr>
      <t>+</t>
    </r>
    <r>
      <rPr>
        <sz val="11"/>
        <color theme="1"/>
        <rFont val="Noto Sans CJK SC"/>
        <family val="2"/>
      </rPr>
      <t>中层并表样本）</t>
    </r>
  </si>
  <si>
    <t>Trend and Progress of Banking in India 2024-25 — Table VI.3</t>
  </si>
  <si>
    <t>Table VI.3 Total Number = 431 (UL 10 + ML 421); Base Layer not included</t>
  </si>
  <si>
    <t>Y</t>
  </si>
  <si>
    <t>Microloan company</t>
  </si>
  <si>
    <t>小额贷款公司</t>
  </si>
  <si>
    <r>
      <rPr>
        <sz val="11"/>
        <color theme="1"/>
        <rFont val="Calibri"/>
        <family val="2"/>
        <charset val="1"/>
      </rPr>
      <t>2025</t>
    </r>
    <r>
      <rPr>
        <sz val="11"/>
        <color theme="1"/>
        <rFont val="Noto Sans CJK SC"/>
        <family val="2"/>
      </rPr>
      <t>年三季度小额贷款公司统计数据报告</t>
    </r>
  </si>
  <si>
    <t>截至2025年9月末，全国共有小额贷款公司4863家</t>
  </si>
  <si>
    <t>Consumer finance company</t>
  </si>
  <si>
    <t>消费金融公司</t>
  </si>
  <si>
    <t>中国银行业协会（媒体转引）</t>
  </si>
  <si>
    <t>中国消费金融公司发展报告（2026）</t>
  </si>
  <si>
    <t>http://finance.ce.cn/bank12/scroll/202607/t20260731_3120181.shtml</t>
  </si>
  <si>
    <t>目前我国共有消费金融公司31家</t>
  </si>
  <si>
    <r>
      <rPr>
        <sz val="11"/>
        <color theme="1"/>
        <rFont val="Calibri"/>
        <family val="2"/>
        <charset val="1"/>
      </rPr>
      <t>association</t>
    </r>
    <r>
      <rPr>
        <sz val="11"/>
        <color theme="1"/>
        <rFont val="Noto Sans CJK SC"/>
        <family val="2"/>
      </rPr>
      <t>报告经央媒</t>
    </r>
    <r>
      <rPr>
        <sz val="11"/>
        <color theme="1"/>
        <rFont val="Calibri"/>
        <family val="2"/>
        <charset val="1"/>
      </rPr>
      <t>cited via</t>
    </r>
    <r>
      <rPr>
        <sz val="11"/>
        <color theme="1"/>
        <rFont val="Noto Sans CJK SC"/>
        <family val="2"/>
      </rPr>
      <t>；非</t>
    </r>
    <r>
      <rPr>
        <sz val="11"/>
        <color theme="1"/>
        <rFont val="Calibri"/>
        <family val="2"/>
        <charset val="1"/>
      </rPr>
      <t>NFRA</t>
    </r>
    <r>
      <rPr>
        <sz val="11"/>
        <color theme="1"/>
        <rFont val="Noto Sans CJK SC"/>
        <family val="2"/>
      </rPr>
      <t>逐家登记表原文</t>
    </r>
  </si>
  <si>
    <t>N</t>
  </si>
  <si>
    <t>Perusahaan Pembiayaan (multifinance)</t>
  </si>
  <si>
    <t>融资公司</t>
  </si>
  <si>
    <t>Direktori Lembaga Pembiayaan dan PMV Juni 2025</t>
  </si>
  <si>
    <t>145 Perusahaan Pembiayaan (+50 PMV +1 Infrastruktur)</t>
  </si>
  <si>
    <t>LPBBTI / Fintech P2P</t>
  </si>
  <si>
    <r>
      <rPr>
        <sz val="11"/>
        <color theme="1"/>
        <rFont val="Calibri"/>
        <family val="2"/>
        <charset val="1"/>
      </rPr>
      <t>P2P</t>
    </r>
    <r>
      <rPr>
        <sz val="11"/>
        <color theme="1"/>
        <rFont val="Noto Sans CJK SC"/>
        <family val="2"/>
      </rPr>
      <t>网络借贷</t>
    </r>
  </si>
  <si>
    <t>Direktori LPBBTI 31 Maret 2026</t>
  </si>
  <si>
    <t>https://ojk.go.id/id/kanal/iknb/data-dan-statistik/direktori/fintech/Pages/Direktori-LPBBTI-31-Maret-2026.aspx</t>
  </si>
  <si>
    <t>penyelenggara LPBBTI/Fintech P2PL yang berizin … 95 perusahaan</t>
  </si>
  <si>
    <t>Nano Finance providers (banks+non-banks)</t>
  </si>
  <si>
    <r>
      <rPr>
        <sz val="11"/>
        <color theme="1"/>
        <rFont val="Calibri"/>
        <family val="2"/>
        <charset val="1"/>
      </rPr>
      <t>Nano</t>
    </r>
    <r>
      <rPr>
        <sz val="11"/>
        <color theme="1"/>
        <rFont val="Noto Sans CJK SC"/>
        <family val="2"/>
      </rPr>
      <t>金融提供商（含银行</t>
    </r>
    <r>
      <rPr>
        <sz val="11"/>
        <color theme="1"/>
        <rFont val="Calibri"/>
        <family val="2"/>
        <charset val="1"/>
      </rPr>
      <t>+</t>
    </r>
    <r>
      <rPr>
        <sz val="11"/>
        <color theme="1"/>
        <rFont val="Noto Sans CJK SC"/>
        <family val="2"/>
      </rPr>
      <t>非银）</t>
    </r>
  </si>
  <si>
    <t>FI_CB_093 Nano Finance under Supervision</t>
  </si>
  <si>
    <t>Number of Nano Finance Providers = 73 (JUN 2025)</t>
  </si>
  <si>
    <t>Development Financial Institutions</t>
  </si>
  <si>
    <t>发展金融机构（DFI）</t>
  </si>
  <si>
    <t>List of Development Financial Institutions</t>
  </si>
  <si>
    <t>6 DFIs listed under DFIA 2002</t>
  </si>
  <si>
    <r>
      <rPr>
        <sz val="11"/>
        <color theme="1"/>
        <rFont val="Calibri"/>
        <family val="2"/>
        <charset val="1"/>
      </rPr>
      <t>SEC</t>
    </r>
    <r>
      <rPr>
        <sz val="11"/>
        <color theme="1"/>
        <rFont val="Noto Sans CJK SC"/>
        <family val="2"/>
      </rPr>
      <t>监管借贷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融资类主体</t>
    </r>
  </si>
  <si>
    <t>Registered SEC Supervised Entities as of 31 January 2026</t>
  </si>
  <si>
    <t>PDF numbered entities ≈2,748</t>
  </si>
  <si>
    <t>Finance company</t>
  </si>
  <si>
    <t>金融公司</t>
  </si>
  <si>
    <t>FINANCE COMPANIES (By March 30, 2025)</t>
  </si>
  <si>
    <t>Official roster lists 16 finance companies</t>
  </si>
  <si>
    <r>
      <rPr>
        <sz val="11"/>
        <color theme="1"/>
        <rFont val="Calibri"/>
        <family val="2"/>
        <charset val="1"/>
      </rPr>
      <t xml:space="preserve">Moneylender / </t>
    </r>
    <r>
      <rPr>
        <sz val="11"/>
        <color theme="1"/>
        <rFont val="Noto Sans CJK SC"/>
        <family val="2"/>
      </rPr>
      <t>貸金業者</t>
    </r>
  </si>
  <si>
    <t>贷金业者</t>
  </si>
  <si>
    <t>貸金業者数について（令和７年６月末）</t>
  </si>
  <si>
    <t>令和７年６月末時点の貸金業者数は1,475業者</t>
  </si>
  <si>
    <t>Specialized credit card company</t>
  </si>
  <si>
    <t>专营信用卡公司</t>
  </si>
  <si>
    <t>licensed_reporting</t>
  </si>
  <si>
    <t>FSS</t>
  </si>
  <si>
    <r>
      <rPr>
        <sz val="11"/>
        <color theme="1"/>
        <rFont val="Calibri"/>
        <family val="2"/>
        <charset val="1"/>
      </rPr>
      <t>2025</t>
    </r>
    <r>
      <rPr>
        <sz val="11"/>
        <color theme="1"/>
        <rFont val="Noto Sans CJK SC"/>
        <family val="2"/>
      </rPr>
      <t>년 여신전문금융회사 영업실적</t>
    </r>
    <r>
      <rPr>
        <sz val="11"/>
        <color theme="1"/>
        <rFont val="Calibri"/>
        <family val="2"/>
        <charset val="1"/>
      </rPr>
      <t>[</t>
    </r>
    <r>
      <rPr>
        <sz val="11"/>
        <color theme="1"/>
        <rFont val="Noto Sans CJK SC"/>
        <family val="2"/>
      </rPr>
      <t>잠정</t>
    </r>
    <r>
      <rPr>
        <sz val="11"/>
        <color theme="1"/>
        <rFont val="Calibri"/>
        <family val="2"/>
        <charset val="1"/>
      </rPr>
      <t>]</t>
    </r>
  </si>
  <si>
    <t>https://eiec.kdi.re.kr/policy/materialView.do?num=278161</t>
  </si>
  <si>
    <t>전업카드사(8개)</t>
  </si>
  <si>
    <t>非卡专业信贷金融公司</t>
  </si>
  <si>
    <r>
      <rPr>
        <sz val="11"/>
        <color theme="1"/>
        <rFont val="Calibri"/>
        <family val="2"/>
        <charset val="1"/>
      </rPr>
      <t>2025</t>
    </r>
    <r>
      <rPr>
        <sz val="11"/>
        <color theme="1"/>
        <rFont val="Noto Sans CJK SC"/>
        <family val="2"/>
      </rPr>
      <t xml:space="preserve">년 여신전문금융회사 영업실적 — </t>
    </r>
    <r>
      <rPr>
        <sz val="11"/>
        <color theme="1"/>
        <rFont val="Calibri"/>
        <family val="2"/>
        <charset val="1"/>
      </rPr>
      <t>press</t>
    </r>
  </si>
  <si>
    <t>비카드 여전사(183개사)</t>
  </si>
  <si>
    <t>Bills finance company</t>
  </si>
  <si>
    <t>票券金融公司</t>
  </si>
  <si>
    <t>專營及兼營票券商家數統計</t>
  </si>
  <si>
    <r>
      <rPr>
        <sz val="11"/>
        <color theme="1"/>
        <rFont val="Calibri"/>
        <family val="2"/>
        <charset val="1"/>
      </rPr>
      <t>114</t>
    </r>
    <r>
      <rPr>
        <sz val="11"/>
        <color theme="1"/>
        <rFont val="Noto Sans CJK SC"/>
        <family val="2"/>
      </rPr>
      <t>年</t>
    </r>
    <r>
      <rPr>
        <sz val="11"/>
        <color theme="1"/>
        <rFont val="Calibri"/>
        <family val="2"/>
        <charset val="1"/>
      </rPr>
      <t>9</t>
    </r>
    <r>
      <rPr>
        <sz val="11"/>
        <color theme="1"/>
        <rFont val="Noto Sans CJK SC"/>
        <family val="2"/>
      </rPr>
      <t xml:space="preserve">月 票券金融公司 </t>
    </r>
    <r>
      <rPr>
        <sz val="11"/>
        <color theme="1"/>
        <rFont val="Calibri"/>
        <family val="2"/>
        <charset val="1"/>
      </rPr>
      <t>= 8</t>
    </r>
  </si>
  <si>
    <t>MRA-licensed MFI</t>
  </si>
  <si>
    <r>
      <rPr>
        <sz val="11"/>
        <color theme="1"/>
        <rFont val="Calibri"/>
        <family val="2"/>
        <charset val="1"/>
      </rPr>
      <t>MRA</t>
    </r>
    <r>
      <rPr>
        <sz val="11"/>
        <color theme="1"/>
        <rFont val="Noto Sans CJK SC"/>
        <family val="2"/>
      </rPr>
      <t>持牌小额信贷机构</t>
    </r>
  </si>
  <si>
    <t>Banking: Bridging Gaps in Bangladesh</t>
  </si>
  <si>
    <t>As of December 2024, 724 licensed MFIs</t>
  </si>
  <si>
    <t>Finance companies under BB</t>
  </si>
  <si>
    <t>孟加拉银行监管金融公司</t>
  </si>
  <si>
    <t>Bangladesh Bank</t>
  </si>
  <si>
    <t>Banks &amp; FIs — Finance Companies</t>
  </si>
  <si>
    <t>https://www.bb.org.bd/en/index.php/financialactivity/bankfi</t>
  </si>
  <si>
    <t>At present, 35 FCs are operating in Bangladesh</t>
  </si>
  <si>
    <t>Lending NBFCs including Modarabas</t>
  </si>
  <si>
    <t>放贷类NBFC（含Modaraba）</t>
  </si>
  <si>
    <t>NBFC/NBFI Sector Summary — December 2025</t>
  </si>
  <si>
    <t>116 lending entities including Modarabas</t>
  </si>
  <si>
    <t>Licensed Finance Company</t>
  </si>
  <si>
    <t>持牌金融公司</t>
  </si>
  <si>
    <t>Licensed Finance Companies</t>
  </si>
  <si>
    <t>Official roster As at 10.08.2026 — 31 companies</t>
  </si>
  <si>
    <t>Licensed money lender</t>
  </si>
  <si>
    <t>持牌放债人</t>
  </si>
  <si>
    <t>Number of Licensed Money Lenders</t>
  </si>
  <si>
    <t>June 2026 = 1,962</t>
  </si>
  <si>
    <t>Licensed moneylender</t>
  </si>
  <si>
    <t>List of Valid Moneylenders as at 1 March 2026</t>
  </si>
  <si>
    <r>
      <rPr>
        <sz val="11"/>
        <color theme="1"/>
        <rFont val="Calibri"/>
        <family val="2"/>
        <charset val="1"/>
      </rPr>
      <t>S/No. 1–153; PDF</t>
    </r>
    <r>
      <rPr>
        <sz val="11"/>
        <color theme="1"/>
        <rFont val="Noto Sans CJK SC"/>
        <family val="2"/>
      </rPr>
      <t>已下载核对</t>
    </r>
  </si>
  <si>
    <t>NBFI</t>
  </si>
  <si>
    <t>非银行金融机构</t>
  </si>
  <si>
    <t>Financial Market Review 2025 Q3</t>
  </si>
  <si>
    <t>FRC licensed 577 NBFIs</t>
  </si>
  <si>
    <t>Microfinance organization (MFO)</t>
  </si>
  <si>
    <t>微金融机构</t>
  </si>
  <si>
    <t>О состоянии микрофинансовых организаций … 1 октября 2025</t>
  </si>
  <si>
    <t>215 микрофинансовыми организациями</t>
  </si>
  <si>
    <t>Microfinance organization</t>
  </si>
  <si>
    <t>Main performance indicators of MFOs</t>
  </si>
  <si>
    <t>number column = 132</t>
  </si>
  <si>
    <t>Financial Stability Report H1 2025</t>
  </si>
  <si>
    <t>Microfinance organizations … 106</t>
  </si>
  <si>
    <t>Overview of the Financial System Q1 2026</t>
  </si>
  <si>
    <t>Microfinance organizations 51</t>
  </si>
  <si>
    <r>
      <rPr>
        <sz val="11"/>
        <color theme="1"/>
        <rFont val="Calibri"/>
        <family val="2"/>
        <charset val="1"/>
      </rPr>
      <t>SAMA</t>
    </r>
    <r>
      <rPr>
        <sz val="11"/>
        <color theme="1"/>
        <rFont val="Noto Sans CJK SC"/>
        <family val="2"/>
      </rPr>
      <t>持牌金融公司</t>
    </r>
  </si>
  <si>
    <t>SAMA licensed Himma for Financing; total 78</t>
  </si>
  <si>
    <t>total number of licensed finance companies … to 78</t>
  </si>
  <si>
    <t>阿联酋央行持牌金融公司</t>
  </si>
  <si>
    <t>Licensing / CB Register (Finance Companies)</t>
  </si>
  <si>
    <t>Licence type=Finance Company rows counted ≈21</t>
  </si>
  <si>
    <r>
      <rPr>
        <sz val="11"/>
        <color theme="1"/>
        <rFont val="Calibri"/>
        <family val="2"/>
        <charset val="1"/>
      </rPr>
      <t>NCR</t>
    </r>
    <r>
      <rPr>
        <sz val="11"/>
        <color theme="1"/>
        <rFont val="Noto Sans CJK SC"/>
        <family val="2"/>
      </rPr>
      <t>注册信贷提供商</t>
    </r>
  </si>
  <si>
    <t>NCR Annual Report 2024/25</t>
  </si>
  <si>
    <t>total of 8 147 credit providers … registered with the NCR</t>
  </si>
  <si>
    <t>CBK-licensed Digital Credit Providers</t>
  </si>
  <si>
    <t>持牌数字信贷提供商(DCP)</t>
  </si>
  <si>
    <t>Press Release: Licensing of Digital Credit Providers</t>
  </si>
  <si>
    <t>brings the number of licensed DCPs to 195</t>
  </si>
  <si>
    <r>
      <rPr>
        <sz val="11"/>
        <color theme="1"/>
        <rFont val="Calibri"/>
        <family val="2"/>
        <charset val="1"/>
      </rPr>
      <t>FRA</t>
    </r>
    <r>
      <rPr>
        <sz val="11"/>
        <color theme="1"/>
        <rFont val="Noto Sans CJK SC"/>
        <family val="2"/>
      </rPr>
      <t>持牌消费金融公司</t>
    </r>
  </si>
  <si>
    <t>Fintech 2026 – Egypt Trends and Developments</t>
  </si>
  <si>
    <t>licensed consumer finance companies … to 28</t>
  </si>
  <si>
    <t>律所指南转述；FRA登记簿未成功计数；2026-08-11 R2: 28→48 per FRA-cited press</t>
  </si>
  <si>
    <t>Sociétés de financement</t>
  </si>
  <si>
    <t>Rapport annuel sur la supervision bancaire 2025</t>
  </si>
  <si>
    <t>Sociétés de financement : 30; Dont crédit à la consommation : 12</t>
  </si>
  <si>
    <t>Sociétés de crédit à la consommation</t>
  </si>
  <si>
    <t>消费信贷公司</t>
  </si>
  <si>
    <t>Rapport DSB 2025</t>
  </si>
  <si>
    <t>Dont sociétés de crédit à la consommation : 12</t>
  </si>
  <si>
    <r>
      <rPr>
        <sz val="11"/>
        <color theme="1"/>
        <rFont val="Calibri"/>
        <family val="2"/>
        <charset val="1"/>
      </rPr>
      <t>finance companies</t>
    </r>
    <r>
      <rPr>
        <sz val="11"/>
        <color theme="1"/>
        <rFont val="Noto Sans CJK SC"/>
        <family val="2"/>
      </rPr>
      <t>子集</t>
    </r>
  </si>
  <si>
    <t>Institutions de microfinance</t>
  </si>
  <si>
    <t>小额信贷机构</t>
  </si>
  <si>
    <t>Institutions de microfinance : 10</t>
  </si>
  <si>
    <t>SOFOM E.N.R. in operation</t>
  </si>
  <si>
    <r>
      <rPr>
        <sz val="11"/>
        <color theme="1"/>
        <rFont val="Calibri"/>
        <family val="2"/>
        <charset val="1"/>
      </rPr>
      <t>SOFOM ENR</t>
    </r>
    <r>
      <rPr>
        <sz val="11"/>
        <color theme="1"/>
        <rFont val="Noto Sans CJK SC"/>
        <family val="2"/>
      </rPr>
      <t>（运营中）</t>
    </r>
  </si>
  <si>
    <t>Comportamiento General de SOFOM E.N.R. Ene–Jun 2025</t>
  </si>
  <si>
    <t>2,145 SOFOM E.N.R. con estatus en operación</t>
  </si>
  <si>
    <t>Sociedade de Crédito Direto (SCD)</t>
  </si>
  <si>
    <t>直接信贷公司(SCD)</t>
  </si>
  <si>
    <t>Relação de Instituições em Funcionamento — SedesSociedades OData</t>
  </si>
  <si>
    <t>SEGMENTO eq 'Sociedade de Crédito Direto' → 136</t>
  </si>
  <si>
    <t>Sociedade de Empréstimo entre Pessoas (SEP)</t>
  </si>
  <si>
    <r>
      <rPr>
        <sz val="11"/>
        <color theme="1"/>
        <rFont val="Calibri"/>
        <family val="2"/>
        <charset val="1"/>
      </rPr>
      <t>P2P</t>
    </r>
    <r>
      <rPr>
        <sz val="11"/>
        <color theme="1"/>
        <rFont val="Noto Sans CJK SC"/>
        <family val="2"/>
      </rPr>
      <t>借贷公司</t>
    </r>
    <r>
      <rPr>
        <sz val="11"/>
        <color theme="1"/>
        <rFont val="Calibri"/>
        <family val="2"/>
        <charset val="1"/>
      </rPr>
      <t>(SEP)</t>
    </r>
  </si>
  <si>
    <t>SedesSociedades OData</t>
  </si>
  <si>
    <t>SEP → 12</t>
  </si>
  <si>
    <t>Sociedade de Crédito, Financiamento e Investimento (CFI)</t>
  </si>
  <si>
    <t>信贷融资投资公司(CFI)</t>
  </si>
  <si>
    <t>CFI → 80</t>
  </si>
  <si>
    <t>传统金融公司</t>
  </si>
  <si>
    <t>Finanzierungsleasing- und Factoringinstitute</t>
  </si>
  <si>
    <t>融资租赁与保理机构</t>
  </si>
  <si>
    <t>Jahresbericht 2025 — Institute unter deutscher Aufsicht</t>
  </si>
  <si>
    <t>Finanzierungsleasing- und Factoringinstitute 339</t>
  </si>
  <si>
    <r>
      <rPr>
        <sz val="11"/>
        <color theme="1"/>
        <rFont val="Calibri"/>
        <family val="2"/>
        <charset val="1"/>
      </rPr>
      <t>ACPR</t>
    </r>
    <r>
      <rPr>
        <sz val="11"/>
        <color theme="1"/>
        <rFont val="Noto Sans CJK SC"/>
        <family val="2"/>
      </rPr>
      <t>持牌融资公司</t>
    </r>
  </si>
  <si>
    <t>Rapport annuel 2025</t>
  </si>
  <si>
    <t>Sociétés de financement … 139 (31/12/2025)</t>
  </si>
  <si>
    <t>Finansman şirketleri</t>
  </si>
  <si>
    <t>Kurum Hakkında / Faaliyet özeti</t>
  </si>
  <si>
    <t>24'ü finansman şirketi</t>
  </si>
  <si>
    <t>Faktoring şirketleri</t>
  </si>
  <si>
    <t>保理公司</t>
  </si>
  <si>
    <t>Faaliyet özeti</t>
  </si>
  <si>
    <t>48'i faktoring şirketi</t>
  </si>
  <si>
    <t>资本市场局信贷服务持牌人</t>
  </si>
  <si>
    <t>Commissioner Report 2024 — Chapter 7</t>
  </si>
  <si>
    <r>
      <rPr>
        <sz val="11"/>
        <color theme="1"/>
        <rFont val="Calibri"/>
        <family val="2"/>
        <charset val="1"/>
      </rPr>
      <t xml:space="preserve">784 </t>
    </r>
    <r>
      <rPr>
        <sz val="11"/>
        <color theme="1"/>
        <rFont val="FreeSans"/>
        <family val="2"/>
      </rPr>
      <t>בעלי רישיונות למתן אשראי</t>
    </r>
  </si>
  <si>
    <t>CBB Financing Companies</t>
  </si>
  <si>
    <t>巴林央行融资公司</t>
  </si>
  <si>
    <t>CBB Fact Sheet – Specialised Licensees</t>
  </si>
  <si>
    <t>Financing Companies 7</t>
  </si>
  <si>
    <t>；2026-08-11: fact sheet is Apr-2024; financing-co count dated Dec-2022</t>
  </si>
  <si>
    <t>科威特央行注册金融公司</t>
  </si>
  <si>
    <t>Banking and Financial System Structure</t>
  </si>
  <si>
    <t>Finance Companies Total 2</t>
  </si>
  <si>
    <r>
      <rPr>
        <sz val="11"/>
        <color theme="1"/>
        <rFont val="Calibri"/>
        <family val="2"/>
        <charset val="1"/>
      </rPr>
      <t>OSFI</t>
    </r>
    <r>
      <rPr>
        <sz val="11"/>
        <color theme="1"/>
        <rFont val="Noto Sans CJK SC"/>
        <family val="2"/>
      </rPr>
      <t>联邦监管贷款公司</t>
    </r>
  </si>
  <si>
    <t>Who we regulate – financial institutions CSV</t>
  </si>
  <si>
    <t>FI Group Name = Loan Companies → 12</t>
  </si>
  <si>
    <t>仅联邦；省级payday未纳入；2026-08-11: 12→10 per live OSFI register</t>
  </si>
  <si>
    <t>Microfinance organizations (MFK+MKK)</t>
  </si>
  <si>
    <t>微金融组织</t>
  </si>
  <si>
    <t>Обзор ключевых показателей МФИ 2026 Q1</t>
  </si>
  <si>
    <t>МФК 27 + МКК 814 = 841</t>
  </si>
  <si>
    <t>Establecimientos financieros de crédito (EFC)</t>
  </si>
  <si>
    <t>信贷金融机构(EFC)</t>
  </si>
  <si>
    <t>Memoria de Supervisión 2025 Cap.4</t>
  </si>
  <si>
    <t>31 EFC (22 + 9 EFC-EP)</t>
  </si>
  <si>
    <t>Intermediari finanziari (art.106 TUB)</t>
  </si>
  <si>
    <t>金融中介（TUB第106条）</t>
  </si>
  <si>
    <t>Relazione annuale 2025 — Appendice Tavola a12.21</t>
  </si>
  <si>
    <t>Totale intermediari 176</t>
  </si>
  <si>
    <t>Operatori del microcredito</t>
  </si>
  <si>
    <t>小额信贷运营商</t>
  </si>
  <si>
    <t>Relazione annuale 2025 Appendice</t>
  </si>
  <si>
    <t>13 operatori del microcredito</t>
  </si>
  <si>
    <t>High Cost Credit Providers</t>
  </si>
  <si>
    <t>高成本信贷提供者</t>
  </si>
  <si>
    <t>2026-05-15</t>
  </si>
  <si>
    <t>Register of High Cost Credit Providers</t>
  </si>
  <si>
    <t>Total … 27 (Run Date 15 May 2026)</t>
  </si>
  <si>
    <t>Retail Credit Firms</t>
  </si>
  <si>
    <t>零售信贷公司</t>
  </si>
  <si>
    <t>Register of Retail Credit Firms</t>
  </si>
  <si>
    <t>authorised 27 + transitional 9 = 36</t>
  </si>
  <si>
    <t>Empresas financieras</t>
  </si>
  <si>
    <t>Evolución del Sistema Financiero Dic 2025</t>
  </si>
  <si>
    <t>Empresas Financieras | 7</t>
  </si>
  <si>
    <t>Empresas de créditos (ex-Edpymes)</t>
  </si>
  <si>
    <t>信贷公司</t>
  </si>
  <si>
    <t>SF-2103 Dic 2025</t>
  </si>
  <si>
    <t>Empresas de Créditos | 5</t>
  </si>
  <si>
    <t>Cooperativas de ahorro y crédito (CMF)</t>
  </si>
  <si>
    <t>储蓄信贷合作社(CMF)</t>
  </si>
  <si>
    <t>Listado de Cooperativas vigentes</t>
  </si>
  <si>
    <t>7 vigentes enumerated</t>
  </si>
  <si>
    <t>Compañías de financiamiento</t>
  </si>
  <si>
    <t>Entidades inscritas — Compañías de Financiamiento</t>
  </si>
  <si>
    <t>19 compañías de financiamiento</t>
  </si>
  <si>
    <t>Proveedores No Financieros de Crédito</t>
  </si>
  <si>
    <t>非金融信贷提供者(PNFC)</t>
  </si>
  <si>
    <t>Informe de PNFC — Junio 2026</t>
  </si>
  <si>
    <t>registro de PNFC alcanzó a 585 empresas</t>
  </si>
  <si>
    <t>Instytucje pożyczkowe</t>
  </si>
  <si>
    <t>非银行贷款机构</t>
  </si>
  <si>
    <t>Report on UKNF/KNF activities 2024</t>
  </si>
  <si>
    <t>100 non-bank lending institutions … in the register</t>
  </si>
  <si>
    <t>Sociedades financeiras de crédito (SFC)</t>
  </si>
  <si>
    <t>信贷金融公司(SFC)</t>
  </si>
  <si>
    <t>Boletim Oficial 1/2026</t>
  </si>
  <si>
    <t>SFC list = 4</t>
  </si>
  <si>
    <t>Instituições financeiras de crédito (IFC)</t>
  </si>
  <si>
    <t>信贷金融机构(IFC)</t>
  </si>
  <si>
    <t>IFC list = 5</t>
  </si>
  <si>
    <t>Finance Houses</t>
  </si>
  <si>
    <t>List of Finance Houses</t>
  </si>
  <si>
    <t>Showing 1 to 10 of 11 entries</t>
  </si>
  <si>
    <t>Savings and Loans companies</t>
  </si>
  <si>
    <t>储蓄贷款公司</t>
  </si>
  <si>
    <r>
      <rPr>
        <sz val="11"/>
        <color theme="1"/>
        <rFont val="Calibri"/>
        <family val="2"/>
        <charset val="1"/>
      </rPr>
      <t>BoG</t>
    </r>
    <r>
      <rPr>
        <sz val="11"/>
        <color theme="1"/>
        <rFont val="Noto Sans CJK SC"/>
        <family val="2"/>
      </rPr>
      <t>（媒体转引年报）</t>
    </r>
  </si>
  <si>
    <t>2025 BoG Annual Report cited</t>
  </si>
  <si>
    <t>https://www.myjoyonline.com/savings-and-loans-industry-records-gh%c2%a2515-32m-profit-in-2025-npls-decrease-to-11-8/</t>
  </si>
  <si>
    <t>licensed Savings and Loans stood at 26</t>
  </si>
  <si>
    <r>
      <rPr>
        <sz val="11"/>
        <color theme="1"/>
        <rFont val="Calibri"/>
        <family val="2"/>
        <charset val="1"/>
      </rPr>
      <t>BoG</t>
    </r>
    <r>
      <rPr>
        <sz val="11"/>
        <color theme="1"/>
        <rFont val="Noto Sans CJK SC"/>
        <family val="2"/>
      </rPr>
      <t>现场名录亦约</t>
    </r>
    <r>
      <rPr>
        <sz val="11"/>
        <color theme="1"/>
        <rFont val="Calibri"/>
        <family val="2"/>
        <charset val="1"/>
      </rPr>
      <t>26</t>
    </r>
    <r>
      <rPr>
        <sz val="11"/>
        <color theme="1"/>
        <rFont val="Noto Sans CJK SC"/>
        <family val="2"/>
      </rPr>
      <t>家</t>
    </r>
  </si>
  <si>
    <t>Tier 2 non-deposit taking MSPs</t>
  </si>
  <si>
    <t>二级非吸储小额信贷服务商</t>
  </si>
  <si>
    <t>Banking Supervision Annual Report 2025</t>
  </si>
  <si>
    <t>licensed Tier 2 Microfinance Service Providers … increased to 2,938</t>
  </si>
  <si>
    <t>Tier 2 microfinance institutions</t>
  </si>
  <si>
    <t>二级小额信贷机构（德勤引BoT）</t>
  </si>
  <si>
    <t>2026-02-28</t>
  </si>
  <si>
    <t>Deloitte Tanzania</t>
  </si>
  <si>
    <t>Tanzania's Budget 2026/27 … microcredit</t>
  </si>
  <si>
    <t>https://www.deloitte.com/tz/en/services/tax/perspectives/a-case-for-financial-inclusion-rethinking-excise-duty-on-microcredit-services-2026-27.html</t>
  </si>
  <si>
    <t>3,047 tier two microfinance institutions registered with BoT</t>
  </si>
  <si>
    <t>放债人（第四级）</t>
  </si>
  <si>
    <t>SACCO &amp; Microfinance Guidebook</t>
  </si>
  <si>
    <t>Moneylenders Licensed 2023: 1,402</t>
  </si>
  <si>
    <t>Non-deposit taking MFIs (Tier 4)</t>
  </si>
  <si>
    <t>非吸储小额信贷机构</t>
  </si>
  <si>
    <t>NDMFIs Licensed 2023: 249</t>
  </si>
  <si>
    <t>Lending-related NDFIs (money lender/factoring)</t>
  </si>
  <si>
    <t>放贷类非吸储金融机构</t>
  </si>
  <si>
    <t>MPFSS March 2025</t>
  </si>
  <si>
    <t>Lending-related (money lender and factoring) Dec-2024: 65</t>
  </si>
  <si>
    <t>持牌小额信贷机构（含U-SACCO）</t>
  </si>
  <si>
    <t>434 licensed institutions including … Umurenge SACCOs</t>
  </si>
  <si>
    <t>含大量合作社</t>
  </si>
  <si>
    <t>Financial Stability Report March 2026</t>
  </si>
  <si>
    <t>59 microfinance institutions … end of June 2025</t>
  </si>
  <si>
    <t>SFD</t>
  </si>
  <si>
    <t>分散式金融/小额信贷机构(SFD)</t>
  </si>
  <si>
    <t>Indicateurs des SFD UMOA 30/09/2025</t>
  </si>
  <si>
    <t>BENIN Nombre total de SFD = 53</t>
  </si>
  <si>
    <t>BURKINA Nombre total de SFD = 73</t>
  </si>
  <si>
    <t>COTE D'IVOIRE Nombre total de SFD = 48</t>
  </si>
  <si>
    <t>MALI Nombre total de SFD = 116</t>
  </si>
  <si>
    <t>SENEGAL Nombre total de SFD = 128</t>
  </si>
  <si>
    <t>EMF agréés</t>
  </si>
  <si>
    <t>获批小额信贷机构</t>
  </si>
  <si>
    <t>Microfinance : 385 établissements autorisés</t>
  </si>
  <si>
    <t>385 à avoir reçu l'agrément … 31 décembre 2025</t>
  </si>
  <si>
    <t>EMF</t>
  </si>
  <si>
    <t>Rapport Annuel 2024 de la COBAC</t>
  </si>
  <si>
    <t>Gabon (18) parmi 521 EMF CEMAC</t>
  </si>
  <si>
    <t>Sociedades de crédito (IFNBs)</t>
  </si>
  <si>
    <t>信贷公司（非银）</t>
  </si>
  <si>
    <t>Activo das IFNBs … I trimestre</t>
  </si>
  <si>
    <t>21 sociedades de crédito</t>
  </si>
  <si>
    <t>Operadores de microcrédito</t>
  </si>
  <si>
    <t>Relatório Anual 2025</t>
  </si>
  <si>
    <t>operadores de microcrédito … 3.427 em 2025</t>
  </si>
  <si>
    <t>Consumer+enterprise lending MFIs (non-deposit)</t>
  </si>
  <si>
    <t>消费/企业类非吸储小贷</t>
  </si>
  <si>
    <t>Annual Report 2024</t>
  </si>
  <si>
    <t>Consumer Lending MFIs 23 + Enterprise 3 = 26</t>
  </si>
  <si>
    <t>仅信贷小额信贷机构</t>
  </si>
  <si>
    <t>Bank Supervision Annual Report 2024</t>
  </si>
  <si>
    <t>Credit-only-MFIs | 268</t>
  </si>
  <si>
    <t>小额放贷人</t>
  </si>
  <si>
    <t>micro lenders being 282 entities</t>
  </si>
  <si>
    <r>
      <rPr>
        <sz val="11"/>
        <color theme="1"/>
        <rFont val="Calibri"/>
        <family val="2"/>
        <charset val="1"/>
      </rPr>
      <t>non-bank</t>
    </r>
    <r>
      <rPr>
        <sz val="11"/>
        <color theme="1"/>
        <rFont val="Noto Sans CJK SC"/>
        <family val="2"/>
      </rPr>
      <t>放贷业合计</t>
    </r>
    <r>
      <rPr>
        <sz val="11"/>
        <color theme="1"/>
        <rFont val="Calibri"/>
        <family val="2"/>
        <charset val="1"/>
      </rPr>
      <t>407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2026-08-11: 282 unsupported in official lists — superseded by row below</t>
    </r>
  </si>
  <si>
    <t>Non-bank lenders industry</t>
  </si>
  <si>
    <t>非银放贷业合计</t>
  </si>
  <si>
    <t>non-bank lenders industry … 407</t>
  </si>
  <si>
    <t>2026-08-11: adopted as recommended count per NBFIRA AR2024 Table 2.1 (team decision)</t>
  </si>
  <si>
    <t>Microlenders</t>
  </si>
  <si>
    <t>microlending market Q4 2025</t>
  </si>
  <si>
    <t>958 microlenders active … Q4 2025</t>
  </si>
  <si>
    <t>Non-Bank Deposit Taking Institutions</t>
  </si>
  <si>
    <t>非银吸储机构</t>
  </si>
  <si>
    <t>Monthly Statistical Bulletin June 2025</t>
  </si>
  <si>
    <t>NBDTI list enumerates 6</t>
  </si>
  <si>
    <t>2,4 millions de clients pour les IMF</t>
  </si>
  <si>
    <t>Les 16 Institutions de microfinance … fin 2023</t>
  </si>
  <si>
    <t>Institutions de microfinance agréées</t>
  </si>
  <si>
    <t>Microfinance : la BCC réaffirme…</t>
  </si>
  <si>
    <t>116 institutions de microfinance agréées … fin 2025</t>
  </si>
  <si>
    <t>Microfinance banks (CBN live register)</t>
  </si>
  <si>
    <t>小额信贷银行(MFB)</t>
  </si>
  <si>
    <t>CBN MFB licence watch</t>
  </si>
  <si>
    <t>829 microfinance banks … 3 August 2026</t>
  </si>
  <si>
    <t>含部分已撤销滞后；Finance Housesofficial合计仍缺；2026-08-11 R2: 829→785 post-revocation</t>
  </si>
  <si>
    <t>Établissements financiers agréés</t>
  </si>
  <si>
    <t>持牌金融机构（非银行）</t>
  </si>
  <si>
    <t>Décision n° 26-01 — Liste EF agréés</t>
  </si>
  <si>
    <t>ANNEXE II LISTE DES ETABLISSEMENTS FINANCIERS AGREES AU 4 JANVIER 2026 — 8 entities</t>
  </si>
  <si>
    <t>Établissements de leasing</t>
  </si>
  <si>
    <t>租赁公司</t>
  </si>
  <si>
    <t>Rapport Annuel Supervision Bancaire 2024</t>
  </si>
  <si>
    <t>Etablissements de leasing 8</t>
  </si>
  <si>
    <t>Établissements financiers (non-bank total)</t>
  </si>
  <si>
    <t>非银行金融机构合计</t>
  </si>
  <si>
    <t>Rapport Supervision 2024</t>
  </si>
  <si>
    <t>Etablissements financiers 18</t>
  </si>
  <si>
    <t>含支付机构等</t>
  </si>
  <si>
    <t>专业融资公司</t>
  </si>
  <si>
    <t>شركات التمويل المتخصص</t>
  </si>
  <si>
    <t>Arabic/English directory cards counted ≈13</t>
  </si>
  <si>
    <t>Microfinance companies (active)</t>
  </si>
  <si>
    <t>小额融资公司（正常经营）</t>
  </si>
  <si>
    <t>دليل قطاع التمويل الأصغر</t>
  </si>
  <si>
    <t>https://www.cbj.gov.jo/AR/List/%D8%AF%D9%84%D9%8A%D9%84_%D9%82%D8%B7%D8%A7%D8%B9_%D8%A7%D9%84%D8%AA%D9%85%D9%88%D9%8A%D9%84_%D8%A7%D9%84%D8%A3%D8%B5%D8%BA%D8%B1</t>
  </si>
  <si>
    <t>9 listed minus 2 insolvent/liquidation = 7</t>
  </si>
  <si>
    <t>专业放贷机构</t>
  </si>
  <si>
    <t>JEIME paper citing PMA end-2024</t>
  </si>
  <si>
    <t>nine institutions licensed by the PMA by end of 2024</t>
  </si>
  <si>
    <t>小额融资银行</t>
  </si>
  <si>
    <t>قائمة البنوك المرخصة</t>
  </si>
  <si>
    <t>13 of 25 listed banks are microfinance banks</t>
  </si>
  <si>
    <t>持牌小额融资机构</t>
  </si>
  <si>
    <t>2023 Microfinance Sector Performance Report cited</t>
  </si>
  <si>
    <t>fifty-one licensed institutions</t>
  </si>
  <si>
    <t>Finance and leasing companies (market peer set)</t>
  </si>
  <si>
    <t>融资租赁公司</t>
  </si>
  <si>
    <t>Ominvest Investor Presentation 2025</t>
  </si>
  <si>
    <t>5 named FLC peers after National Finance–Orix merger</t>
  </si>
  <si>
    <t>Financial institutions (BDL list index)</t>
  </si>
  <si>
    <t>金融机构（BDL名录）</t>
  </si>
  <si>
    <t>Institutions Supervised — Financial Institutions update</t>
  </si>
  <si>
    <t>Update refers to company No.48 on financial institutions list</t>
  </si>
  <si>
    <t>Finance companies / other nonbank lenders (Census mailing universe)</t>
  </si>
  <si>
    <t>金融公司/其他非银放贷人（普查寄送总体）</t>
  </si>
  <si>
    <t>2025 Census of Finance Companies and Other Lenders</t>
  </si>
  <si>
    <t>letter … sent to approximately 13,000 companies</t>
  </si>
  <si>
    <t>非全国licensed总数；最接近official全国口径。另有合格finance companies≈2,100（2021sample框）；2026-08-11 R2: 13,000→5,346 (Fed 2010 census estimate; label as estimate)</t>
  </si>
  <si>
    <t>Eligible finance companies (SFC sample frame)</t>
  </si>
  <si>
    <t>合格金融公司（调查样本框）</t>
  </si>
  <si>
    <t>2021-06-30</t>
  </si>
  <si>
    <t>survey_frame</t>
  </si>
  <si>
    <t>Survey of Finance Companies 2020–21 Findings</t>
  </si>
  <si>
    <t>https://www.federalreserve.gov/publications/2025-january-survey-of-finance-companies-2020-21.htm</t>
  </si>
  <si>
    <t>SFC was sent to approximately 2,100 finance companies</t>
  </si>
  <si>
    <t>Firms with FCA permission to offer consumer credit lending</t>
  </si>
  <si>
    <t>持有FCA消费信贷放贷许可的机构</t>
  </si>
  <si>
    <t>PS24/3: Consumer Credit – Product Sales Data Reporting</t>
  </si>
  <si>
    <t>More than 3,500 firms have permission to offer lending products</t>
  </si>
  <si>
    <t>AFM 'Aanbieden van krediet' licence holders</t>
  </si>
  <si>
    <r>
      <rPr>
        <sz val="11"/>
        <color theme="1"/>
        <rFont val="Calibri"/>
        <family val="2"/>
        <charset val="1"/>
      </rPr>
      <t>AFM</t>
    </r>
    <r>
      <rPr>
        <sz val="11"/>
        <color theme="1"/>
        <rFont val="Noto Sans CJK SC"/>
        <family val="2"/>
      </rPr>
      <t>信贷提供牌照持有人</t>
    </r>
  </si>
  <si>
    <t>Register financiële dienstverleners — Aanbieden van krediet</t>
  </si>
  <si>
    <t>381 Resultaten; update 10 augustus 2026</t>
  </si>
  <si>
    <t>Konsumentkreditinstitut (main activity)</t>
  </si>
  <si>
    <t>消费者信贷机构（主业）</t>
  </si>
  <si>
    <t>Företagsregistret — Konsumentkreditinstitut</t>
  </si>
  <si>
    <t>Huvudverksamhet: Konsumentkreditinstitut (16 st)</t>
  </si>
  <si>
    <t>Konsumentkreditinstitut (pre-deadline approx)</t>
  </si>
  <si>
    <t>消费者信贷机构（过渡期前约数）</t>
  </si>
  <si>
    <t>2026-02-17</t>
  </si>
  <si>
    <t>FI kontaktar företag om skärpta regler…</t>
  </si>
  <si>
    <t>https://www.fi.se/sv/publicerat/nyheter/2026/fi-kontaktar-foretag-om-skarpta-regler-for-konsumentkrediter/</t>
  </si>
  <si>
    <t>minskat från cirka 60 till cirka 50</t>
  </si>
  <si>
    <t>SME finance companies (CBI-licensed)</t>
  </si>
  <si>
    <t>中小企业融资公司</t>
  </si>
  <si>
    <t>المؤسسات المالية غير المصرفية — شركات تمويل المشاريع الصغيرة والمتوسطة</t>
  </si>
  <si>
    <t>جدول شركات تمويل المشاريع الصغيرة والمتوسطة: 1 العراقية… 2 الاولى… (=2)</t>
  </si>
  <si>
    <t>卡塔尔央行注册伊斯兰融资公司</t>
  </si>
  <si>
    <t>Qatar 2024 — Islamic financial services overview</t>
  </si>
  <si>
    <t>three of these are registered with the QCB – Al Jazeera Finance; First Finance; Qatar Finance House</t>
  </si>
  <si>
    <t>metric_scope</t>
  </si>
  <si>
    <t>metric_scope_en</t>
  </si>
  <si>
    <t>metric_label</t>
  </si>
  <si>
    <t>unit_note</t>
  </si>
  <si>
    <t>outstanding_usd_bn_indicative</t>
  </si>
  <si>
    <t>evidence_type</t>
  </si>
  <si>
    <t>retrieval_date</t>
  </si>
  <si>
    <t>qc_status</t>
  </si>
  <si>
    <t>qc_notes</t>
  </si>
  <si>
    <t>nonbank_total_mixed</t>
  </si>
  <si>
    <t>十亿SAR报表值×1e9</t>
  </si>
  <si>
    <t>Saudi Central Bank (SAMA)</t>
  </si>
  <si>
    <t>Key Economic Developments — Third Quarter 2025</t>
  </si>
  <si>
    <t>official_pdf</t>
  </si>
  <si>
    <t>total credit offered by finance companies … SAR 102.7 billion in Q3 2025 … retail finance (77.0%)</t>
  </si>
  <si>
    <t>PASS</t>
  </si>
  <si>
    <r>
      <rPr>
        <sz val="11"/>
        <color theme="1"/>
        <rFont val="Calibri"/>
        <family val="2"/>
        <charset val="1"/>
      </rPr>
      <t>PDF downloaded and verified</t>
    </r>
    <r>
      <rPr>
        <sz val="11"/>
        <color theme="1"/>
        <rFont val="Noto Sans CJK SC"/>
        <family val="2"/>
      </rPr>
      <t>；零售占</t>
    </r>
    <r>
      <rPr>
        <sz val="11"/>
        <color theme="1"/>
        <rFont val="Calibri"/>
        <family val="2"/>
        <charset val="1"/>
      </rPr>
      <t>77%</t>
    </r>
    <r>
      <rPr>
        <sz val="11"/>
        <color theme="1"/>
        <rFont val="Noto Sans CJK SC"/>
        <family val="2"/>
      </rPr>
      <t>，</t>
    </r>
    <r>
      <rPr>
        <sz val="11"/>
        <color theme="1"/>
        <rFont val="Calibri"/>
        <family val="2"/>
        <charset val="1"/>
      </rPr>
      <t>not pure personal</t>
    </r>
    <r>
      <rPr>
        <sz val="11"/>
        <color theme="1"/>
        <rFont val="Noto Sans CJK SC"/>
        <family val="2"/>
      </rPr>
      <t>现金贷</t>
    </r>
  </si>
  <si>
    <t>personal_total</t>
  </si>
  <si>
    <t>十亿AED</t>
  </si>
  <si>
    <t>UAE Monetary, Banking &amp; Financial Markets Developments Report — 2025 Q4</t>
  </si>
  <si>
    <t>Personal Loans to Residents = 567.9 (AED bn) Dec 2025</t>
  </si>
  <si>
    <t>银行对居民personal贷，非Finance Companynon-bank口径</t>
  </si>
  <si>
    <t>₹ crore → ×1e7</t>
  </si>
  <si>
    <t>Report on Trend and Progress of Banking in India 2024-25 — NBFC</t>
  </si>
  <si>
    <t>official_webpage_table</t>
  </si>
  <si>
    <t>Loans and Advances end-March 2025 = ₹48,38,744 crore</t>
  </si>
  <si>
    <t>含HFC等，非仅personal现金贷</t>
  </si>
  <si>
    <t>Non-bank NBFC retail loans (incl. housing/auto etc.)</t>
  </si>
  <si>
    <t>NBFC Retail Loans (sectoral)</t>
  </si>
  <si>
    <t>Trend and Progress 2024-25 — Sectoral Credit Deployment by NBFCs</t>
  </si>
  <si>
    <t>Retail Loans End-September 2025 = ₹18,38,897 crore</t>
  </si>
  <si>
    <t>零售含住房等</t>
  </si>
  <si>
    <t>nonbank_personal</t>
  </si>
  <si>
    <t>億円 → ×1e8</t>
  </si>
  <si>
    <t>貸金業関係資料（全国ベース）令和7年3月末</t>
  </si>
  <si>
    <t>令和7年3月末 消費者向貸付残高 84,874（億円）</t>
  </si>
  <si>
    <t>million THB</t>
  </si>
  <si>
    <t>FI_CB_081 Personal Loan and Nano Finance under Supervision</t>
  </si>
  <si>
    <t>official_stats_portal</t>
  </si>
  <si>
    <t>2. Non-Banks Outstanding ≈ 643,446 (Millions of Baht), JUN 2026 p</t>
  </si>
  <si>
    <r>
      <rPr>
        <sz val="11"/>
        <color theme="1"/>
        <rFont val="Calibri"/>
        <family val="2"/>
        <charset val="1"/>
      </rPr>
      <t>BOTofficial</t>
    </r>
    <r>
      <rPr>
        <sz val="11"/>
        <color theme="1"/>
        <rFont val="Noto Sans CJK SC"/>
        <family val="2"/>
      </rPr>
      <t>统计门户</t>
    </r>
  </si>
  <si>
    <r>
      <rPr>
        <sz val="11"/>
        <color theme="1"/>
        <rFont val="Calibri"/>
        <family val="2"/>
        <charset val="1"/>
      </rPr>
      <t>1.43</t>
    </r>
    <r>
      <rPr>
        <sz val="11"/>
        <color theme="1"/>
        <rFont val="Noto Sans CJK SC"/>
        <family val="2"/>
      </rPr>
      <t>万亿元</t>
    </r>
  </si>
  <si>
    <t>中国银行业协会（人民网英文转载）</t>
  </si>
  <si>
    <t>China's consumer finance firms outstanding loans 1.43 trillion yuan (2025)</t>
  </si>
  <si>
    <t>semi_official_news_citing_association</t>
  </si>
  <si>
    <t>Outstanding loans … to 1.43 trillion yuan</t>
  </si>
  <si>
    <r>
      <rPr>
        <sz val="11"/>
        <color theme="1"/>
        <rFont val="Calibri"/>
        <family val="2"/>
        <charset val="1"/>
      </rPr>
      <t>Suggest follow-up to supplement</t>
    </r>
    <r>
      <rPr>
        <sz val="11"/>
        <color theme="1"/>
        <rFont val="Noto Sans CJK SC"/>
        <family val="2"/>
      </rPr>
      <t>中银协原报告</t>
    </r>
    <r>
      <rPr>
        <sz val="11"/>
        <color theme="1"/>
        <rFont val="Calibri"/>
        <family val="2"/>
        <charset val="1"/>
      </rPr>
      <t>PDF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microfinance/microloan</t>
    </r>
    <r>
      <rPr>
        <sz val="11"/>
        <color theme="1"/>
        <rFont val="Noto Sans CJK SC"/>
        <family val="2"/>
      </rPr>
      <t>全行业另待核</t>
    </r>
  </si>
  <si>
    <t>IDR trillion</t>
  </si>
  <si>
    <t>Financing Institutions… Fintech P2P … Update March 2026</t>
  </si>
  <si>
    <t>official_webpage</t>
  </si>
  <si>
    <t>outstanding loans … IDR101.03 trillion</t>
  </si>
  <si>
    <t>含生产性贷款；multifinance另待核</t>
  </si>
  <si>
    <t>Consumer credit gross debtors book (banks + non-banks)</t>
  </si>
  <si>
    <t>Gross debtors book — total consumer credit (NCA)</t>
  </si>
  <si>
    <t>约2.4388 trillion ZAR</t>
  </si>
  <si>
    <t>Consumer Credit Market Report Q2 2025</t>
  </si>
  <si>
    <t>Gross debtors book ≈ R2.439 trillion</t>
  </si>
  <si>
    <r>
      <rPr>
        <sz val="11"/>
        <color theme="1"/>
        <rFont val="Calibri"/>
        <family val="2"/>
        <charset val="1"/>
      </rPr>
      <t>PDF</t>
    </r>
    <r>
      <rPr>
        <sz val="11"/>
        <color theme="1"/>
        <rFont val="Noto Sans CJK SC"/>
        <family val="2"/>
      </rPr>
      <t>已下载</t>
    </r>
  </si>
  <si>
    <t>billion ZAR</t>
  </si>
  <si>
    <t>CCMR Q2 2025</t>
  </si>
  <si>
    <t>Other credit providers R185.826 billion (June 2025)</t>
  </si>
  <si>
    <r>
      <rPr>
        <sz val="11"/>
        <color theme="1"/>
        <rFont val="Calibri"/>
        <family val="2"/>
        <charset val="1"/>
      </rPr>
      <t>non-bank</t>
    </r>
    <r>
      <rPr>
        <sz val="11"/>
        <color theme="1"/>
        <rFont val="Noto Sans CJK SC"/>
        <family val="2"/>
      </rPr>
      <t>相关拆分</t>
    </r>
  </si>
  <si>
    <t>billion MAD</t>
  </si>
  <si>
    <t>Rapport sur la stabilité financière 2025 (n°13)</t>
  </si>
  <si>
    <t>sociétés de financement … atteindre 99 milliards de dirhams</t>
  </si>
  <si>
    <r>
      <rPr>
        <sz val="11"/>
        <color theme="1"/>
        <rFont val="Calibri"/>
        <family val="2"/>
        <charset val="1"/>
      </rPr>
      <t>PDF</t>
    </r>
    <r>
      <rPr>
        <sz val="11"/>
        <color theme="1"/>
        <rFont val="Noto Sans CJK SC"/>
        <family val="2"/>
      </rPr>
      <t>原文已核</t>
    </r>
  </si>
  <si>
    <t>Consumer credit market total (banks + finance companies)</t>
  </si>
  <si>
    <t>Crédits à la consommation — marché total</t>
  </si>
  <si>
    <t>RSF 2025</t>
  </si>
  <si>
    <t>L’encours des crédits à la consommation s’est établi à 183 milliards de dirhams en 2025</t>
  </si>
  <si>
    <t>银行85+finance companies99</t>
  </si>
  <si>
    <t>billion KES</t>
  </si>
  <si>
    <t>CBK / CMA FSSR</t>
  </si>
  <si>
    <t>Kenya Financial Sector Stability Report Sept 2025</t>
  </si>
  <si>
    <t>The DCP advanced KSh 76.8 billion … June 2025 which is more than the outstanding loans advanced by the microfinance banks</t>
  </si>
  <si>
    <t>措辞advanced，但与MFB outstanding对照，按在贷存量解读</t>
  </si>
  <si>
    <t>billion NIS</t>
  </si>
  <si>
    <t>Bank of Israel</t>
  </si>
  <si>
    <t>Debt Developments in the Nonfinancial Private Sector, Q3 2025</t>
  </si>
  <si>
    <t>credit card companies household nonhousing debt = NIS 43.6 billion</t>
  </si>
  <si>
    <t>RM million</t>
  </si>
  <si>
    <t>Table 1.19.6 Household Loan/Financing by Purpose</t>
  </si>
  <si>
    <t>official_xlsx</t>
  </si>
  <si>
    <t>Jun 2026 Personal Uses = RM 120,580.07 million</t>
  </si>
  <si>
    <t>银行体系personal用途；2026-08-12: verified by direct inspection of BNM Table 1.19.6 (120,580.07M Jun-2026)</t>
  </si>
  <si>
    <t>trillion KRW</t>
  </si>
  <si>
    <t>Bank of Korea</t>
  </si>
  <si>
    <t>Household Credits in Q1 2026</t>
  </si>
  <si>
    <t>household loans totaling 1,865.8 trillion won</t>
  </si>
  <si>
    <t>家庭贷款总量；2026-08-11: ex-mortgage switch applied then REVERTED pending team confirmation on whether mortgages are in TAM scope；2026-08-11 senior decision: net of mortgage (gross 1,865,800,000,000,000 − mortgage 1,178,600,000,000,000); see master cols AE/AF</t>
  </si>
  <si>
    <t>NT$ million</t>
  </si>
  <si>
    <t>CBC</t>
  </si>
  <si>
    <t>消費者貸款及建築貸款餘額 EF99M01</t>
  </si>
  <si>
    <t>official_open_data</t>
  </si>
  <si>
    <r>
      <rPr>
        <sz val="11"/>
        <color theme="1"/>
        <rFont val="Calibri"/>
        <family val="2"/>
        <charset val="1"/>
      </rPr>
      <t xml:space="preserve">2026M06 </t>
    </r>
    <r>
      <rPr>
        <sz val="11"/>
        <color theme="1"/>
        <rFont val="Noto Sans CJK SC"/>
        <family val="2"/>
      </rPr>
      <t>消費者貸款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 xml:space="preserve">小計 </t>
    </r>
    <r>
      <rPr>
        <sz val="11"/>
        <color theme="1"/>
        <rFont val="Calibri"/>
        <family val="2"/>
        <charset val="1"/>
      </rPr>
      <t>= 13,843,306 (</t>
    </r>
    <r>
      <rPr>
        <sz val="11"/>
        <color theme="1"/>
        <rFont val="Noto Sans CJK SC"/>
        <family val="2"/>
      </rPr>
      <t>百万新台币</t>
    </r>
    <r>
      <rPr>
        <sz val="11"/>
        <color theme="1"/>
        <rFont val="Calibri"/>
        <family val="2"/>
        <charset val="1"/>
      </rPr>
      <t>)</t>
    </r>
  </si>
  <si>
    <t>含购屋贷等；2026-08-11: ex-mortgage switch applied then REVERTED pending team confirmation on whether mortgages are in TAM scope；2026-08-11 senior decision: net of mortgage (gross 13,843,306,000,000 − mortgage 11,812,652,000,000); see master cols AE/AF；2026-08-12: house-repair 30,878M (exact, direct inspection) added to deduction → net 1,999,776M</t>
  </si>
  <si>
    <t>HK$ million</t>
  </si>
  <si>
    <t>HKMA</t>
  </si>
  <si>
    <t>Monthly Statistical Bulletin Table 3.5.1</t>
  </si>
  <si>
    <t>official_xls</t>
  </si>
  <si>
    <t>For other private purposes ≈ HK$748,476.8 million (2026-03)</t>
  </si>
  <si>
    <t>银行体系口径</t>
  </si>
  <si>
    <t>billion PHP</t>
  </si>
  <si>
    <t>BSP</t>
  </si>
  <si>
    <t>Quarterly Banking Sector Report Q3 2025</t>
  </si>
  <si>
    <t>Total consumer loans = ₱3,537.0 billion</t>
  </si>
  <si>
    <t>银行consumer贷；2026-08-11: excl-RREL switch applied then REVERTED pending team confirmation on mortgage scope；2026-08-11 senior decision: net of mortgage (gross 3,537,000,000,000 − mortgage 1,078,785,000,000); see master cols AE/AF；2026-08-11: mortgage updated to EXACT BSP RRE 1,188bn (Sep-2025) — net 2,349bn；2026-08-12: QUBS inspected directly — total confirmed; housing 33.3% same-document → net 2,359.2bn</t>
  </si>
  <si>
    <t>billion PKR</t>
  </si>
  <si>
    <t>SBP</t>
  </si>
  <si>
    <t>The Banking Sector Stability 2025</t>
  </si>
  <si>
    <t>reach Rs 1,024 billion by end CY25</t>
  </si>
  <si>
    <t>银行consumer融资；2026-08-11: ex-mortgage switch applied then REVERTED pending team confirmation on whether mortgages are in TAM scope；2026-08-11 senior decision: net of mortgage (gross 1,024,000,000,000 − mortgage 224,664,000,000); see master cols AE/AF；2026-08-11: adopted SBP same-series Dec-2025 gross 998bn − house building 220bn = 778bn (prior 1,024bn total inconsistent with SBP monthly series)；2026-08-12: mortgage subtraction REVERTED per Kimderson — gross 998bn kept (house-building split unverifiable)</t>
  </si>
  <si>
    <t>trillion KZT</t>
  </si>
  <si>
    <t>National Bank of Kazakhstan</t>
  </si>
  <si>
    <t>Annual Report of the National Bank of Kazakhstan for 2025</t>
  </si>
  <si>
    <t>unsecured consumer lending … 11.6 trillion tenge</t>
  </si>
  <si>
    <r>
      <rPr>
        <sz val="11"/>
        <color theme="1"/>
        <rFont val="Calibri"/>
        <family val="2"/>
        <charset val="1"/>
      </rPr>
      <t>consumer</t>
    </r>
    <r>
      <rPr>
        <sz val="11"/>
        <color theme="1"/>
        <rFont val="Noto Sans CJK SC"/>
        <family val="2"/>
      </rPr>
      <t>贷口径</t>
    </r>
  </si>
  <si>
    <t>billion MXN (2025-12 Banxico)</t>
  </si>
  <si>
    <t>Banco de México</t>
  </si>
  <si>
    <t>Agregados Monetarios y Actividad Financiera — diciembre 2025</t>
  </si>
  <si>
    <t>Créditos personales = MXN 278.3 billion</t>
  </si>
  <si>
    <t>银行personal贷</t>
  </si>
  <si>
    <t>Commercial banks consumer loans total</t>
  </si>
  <si>
    <t>Crédito al consumo (banca comercial)</t>
  </si>
  <si>
    <t>billion MXN</t>
  </si>
  <si>
    <t>Agregados Monetarios … diciembre 2025</t>
  </si>
  <si>
    <t>Crédito al consumo = MXN 1,875.7 billion</t>
  </si>
  <si>
    <t>更宽consumer贷</t>
  </si>
  <si>
    <t>billion BD</t>
  </si>
  <si>
    <t>Financial Stability Report September 2025</t>
  </si>
  <si>
    <t>Outstanding personal loans = BD 6.1 billion</t>
  </si>
  <si>
    <t>银行personal贷；2026-08-11: ex-mortgage switch applied then REVERTED pending team confirmation on whether mortgages are in TAM scope；2026-08-11 senior decision: net of mortgage (gross 6,103,500,000 − mortgage 3,093,900,000); see master cols AE/AF</t>
  </si>
  <si>
    <t>KD million</t>
  </si>
  <si>
    <t>Monthly Monetary Statistics table 1301</t>
  </si>
  <si>
    <t>Consumer Loans = KD 2,070.2 million (end-Jan 2026)</t>
  </si>
  <si>
    <t>中期personalconsumer贷</t>
  </si>
  <si>
    <t>million TRY</t>
  </si>
  <si>
    <t>Weekly Bulletin — Banking Sector Loans</t>
  </si>
  <si>
    <t>Personal Finance = TRY 2,407,042 million</t>
  </si>
  <si>
    <t>银行部门；2026-08-11 verification: USD conv corrected (TRY 45.19)</t>
  </si>
  <si>
    <t>billion NGN</t>
  </si>
  <si>
    <t>CBN</t>
  </si>
  <si>
    <t>CBN Annual Report 2025</t>
  </si>
  <si>
    <t>Consumer credit outstanding = NGN 3,783.40 billion</t>
  </si>
  <si>
    <r>
      <rPr>
        <sz val="11"/>
        <color theme="1"/>
        <rFont val="Calibri"/>
        <family val="2"/>
        <charset val="1"/>
      </rPr>
      <t>ODCconsumer</t>
    </r>
    <r>
      <rPr>
        <sz val="11"/>
        <color theme="1"/>
        <rFont val="Noto Sans CJK SC"/>
        <family val="2"/>
      </rPr>
      <t>信贷</t>
    </r>
  </si>
  <si>
    <t>milhões de reais</t>
  </si>
  <si>
    <t>Banco Central do Brasil</t>
  </si>
  <si>
    <t>SGS 20580 crédito pessoal total</t>
  </si>
  <si>
    <t>official_api</t>
  </si>
  <si>
    <t>JSON 01/06/2026 valor=1182697 (R$ milhões)</t>
  </si>
  <si>
    <r>
      <rPr>
        <sz val="11"/>
        <color theme="1"/>
        <rFont val="Calibri"/>
        <family val="2"/>
        <charset val="1"/>
      </rPr>
      <t>officialAPI</t>
    </r>
    <r>
      <rPr>
        <sz val="11"/>
        <color theme="1"/>
        <rFont val="Noto Sans CJK SC"/>
        <family val="2"/>
      </rPr>
      <t>已现场核验</t>
    </r>
  </si>
  <si>
    <t>Consumer credit total (seasonally adjusted)</t>
  </si>
  <si>
    <t>Consumer credit outstanding total (SA)</t>
  </si>
  <si>
    <t>billions USD</t>
  </si>
  <si>
    <t>Consumer Credit — G.19 Current Release (Aug 7, 2026)</t>
  </si>
  <si>
    <t>https://www.federalreserve.gov/Releases/G19/Current/</t>
  </si>
  <si>
    <t>Total outstanding SA Junp = 5,166.9 (USD bn)</t>
  </si>
  <si>
    <t>官网表格已现场核验；含学贷/车贷/卡等</t>
  </si>
  <si>
    <t>Consumer credit held by finance companies (non-bank holders)</t>
  </si>
  <si>
    <t>Consumer credit held by finance companies (NSA)</t>
  </si>
  <si>
    <t>G.19 — Consumer Credit Outstanding (Levels) NSA by major holders</t>
  </si>
  <si>
    <t>Finance companies Junp = 699.5 (USD bn, NSA levels)</t>
  </si>
  <si>
    <t>持有人口径non-bank；含车贷等，非纯现金贷</t>
  </si>
  <si>
    <t>millones S/</t>
  </si>
  <si>
    <t>BCRP</t>
  </si>
  <si>
    <t>BCRPData PN00533MM Saldos - Consumo</t>
  </si>
  <si>
    <t>Jun26 = 114292 (millones S/)</t>
  </si>
  <si>
    <r>
      <rPr>
        <sz val="11"/>
        <color theme="1"/>
        <rFont val="Calibri"/>
        <family val="2"/>
        <charset val="1"/>
      </rPr>
      <t>official</t>
    </r>
    <r>
      <rPr>
        <sz val="11"/>
        <color theme="1"/>
        <rFont val="Noto Sans CJK SC"/>
        <family val="2"/>
      </rPr>
      <t>序列页已现场核验</t>
    </r>
  </si>
  <si>
    <r>
      <rPr>
        <sz val="11"/>
        <color theme="1"/>
        <rFont val="Calibri"/>
        <family val="2"/>
        <charset val="1"/>
      </rPr>
      <t xml:space="preserve">billones de $ = ARS billion×1e9? </t>
    </r>
    <r>
      <rPr>
        <sz val="11"/>
        <color theme="1"/>
        <rFont val="Noto Sans CJK SC"/>
        <family val="2"/>
      </rPr>
      <t>报表</t>
    </r>
    <r>
      <rPr>
        <sz val="11"/>
        <color theme="1"/>
        <rFont val="Calibri"/>
        <family val="2"/>
        <charset val="1"/>
      </rPr>
      <t>jun-26=21.062 billones → 21062e9</t>
    </r>
  </si>
  <si>
    <t>Informe Monetario Mensual — Junio de 2026</t>
  </si>
  <si>
    <t>Annex 'Personales' jun-26 = 21.062 (billones de $)</t>
  </si>
  <si>
    <t>单位为阿根廷billones；高通胀下USD换算极敏感，local currency is authoritative</t>
  </si>
  <si>
    <t>miles de millones de pesos → ×1e9</t>
  </si>
  <si>
    <t>Banco Central de Chile</t>
  </si>
  <si>
    <t>BDE ICS_COLOCACIONES</t>
  </si>
  <si>
    <t>Consumo / Moneda Nacional 31.Jul.2026 = 21.536,3</t>
  </si>
  <si>
    <r>
      <rPr>
        <sz val="11"/>
        <color theme="1"/>
        <rFont val="Calibri"/>
        <family val="2"/>
        <charset val="1"/>
      </rPr>
      <t>official</t>
    </r>
    <r>
      <rPr>
        <sz val="11"/>
        <color theme="1"/>
        <rFont val="Noto Sans CJK SC"/>
        <family val="2"/>
      </rPr>
      <t>统计系统</t>
    </r>
  </si>
  <si>
    <t>billion EGP</t>
  </si>
  <si>
    <t>FRA via Ahram Online</t>
  </si>
  <si>
    <t>FRA reported consumer finance portfolios end-2025</t>
  </si>
  <si>
    <t>semi_official_news_citing_regulator</t>
  </si>
  <si>
    <t>outstanding credit portfolios … EGP 96.3 billion (end-2025)</t>
  </si>
  <si>
    <t>监管数据经media转载；FRA官网本轮未打开，Suggest follow-up to supplement官源PDF</t>
  </si>
  <si>
    <t>Finance Companies — G.20 Current Release (Jul 31, 2026)</t>
  </si>
  <si>
    <t>Owned and Managed Receivables Outstanding SA: Consumer Mayp = 924.0 (USD bn)</t>
  </si>
  <si>
    <t>官网表格已现场核验；优先于G.19持有人口径</t>
  </si>
  <si>
    <t>CAD millions</t>
  </si>
  <si>
    <t>Statistics Canada</t>
  </si>
  <si>
    <t>Table 36-10-0639-01 Monthly credit aggregates</t>
  </si>
  <si>
    <t>official_csv</t>
  </si>
  <si>
    <t>CSV: 2026-05 Canada Raw Non-mortgage loans VALUE=827701 (CAD millions)</t>
  </si>
  <si>
    <r>
      <rPr>
        <sz val="11"/>
        <color theme="1"/>
        <rFont val="Calibri"/>
        <family val="2"/>
        <charset val="1"/>
      </rPr>
      <t>officialCSV</t>
    </r>
    <r>
      <rPr>
        <sz val="11"/>
        <color theme="1"/>
        <rFont val="Noto Sans CJK SC"/>
        <family val="2"/>
      </rPr>
      <t>已下载核验；</t>
    </r>
    <r>
      <rPr>
        <sz val="11"/>
        <color theme="1"/>
        <rFont val="Calibri"/>
        <family val="2"/>
        <charset val="1"/>
      </rPr>
      <t>includes banks+non-bank</t>
    </r>
    <r>
      <rPr>
        <sz val="11"/>
        <color theme="1"/>
        <rFont val="Noto Sans CJK SC"/>
        <family val="2"/>
      </rPr>
      <t>存款类等全贷款人</t>
    </r>
  </si>
  <si>
    <t>GBP billions</t>
  </si>
  <si>
    <t>Bank of England</t>
  </si>
  <si>
    <t>Money and Credit — Tables A and K June 2026 (Table B)</t>
  </si>
  <si>
    <t>Table B Jun 2026 = 256.333</t>
  </si>
  <si>
    <r>
      <rPr>
        <sz val="11"/>
        <color theme="1"/>
        <rFont val="Calibri"/>
        <family val="2"/>
        <charset val="1"/>
      </rPr>
      <t>BoE xlsx</t>
    </r>
    <r>
      <rPr>
        <sz val="11"/>
        <color theme="1"/>
        <rFont val="Noto Sans CJK SC"/>
        <family val="2"/>
      </rPr>
      <t>已下载核验</t>
    </r>
  </si>
  <si>
    <t>EUR millions</t>
  </si>
  <si>
    <t>European Central Bank (BSI)</t>
  </si>
  <si>
    <t>ECB Data Portal BSI.M.DE.N.A.A21.A.1.U2.2250.Z01.E</t>
  </si>
  <si>
    <t>BSI.M.DE.N.A.A21.A.1.U2.2250.Z01.E 2026-06 = 204411</t>
  </si>
  <si>
    <r>
      <rPr>
        <sz val="11"/>
        <color theme="1"/>
        <rFont val="Calibri"/>
        <family val="2"/>
        <charset val="1"/>
      </rPr>
      <t xml:space="preserve">ECB BSI API lastNObservations </t>
    </r>
    <r>
      <rPr>
        <sz val="11"/>
        <color theme="1"/>
        <rFont val="Noto Sans CJK SC"/>
        <family val="2"/>
      </rPr>
      <t xml:space="preserve">已核验 </t>
    </r>
    <r>
      <rPr>
        <sz val="11"/>
        <color theme="1"/>
        <rFont val="Calibri"/>
        <family val="2"/>
        <charset val="1"/>
      </rPr>
      <t>2026-06</t>
    </r>
  </si>
  <si>
    <t>ECB Data Portal BSI.M.FR.N.A.A21.A.1.U2.2250.Z01.E</t>
  </si>
  <si>
    <t>BSI.M.FR.N.A.A21.A.1.U2.2250.Z01.E 2026-06 = 206339</t>
  </si>
  <si>
    <t>ECB Data Portal BSI.M.IT.N.A.A21.A.1.U2.2250.Z01.E</t>
  </si>
  <si>
    <t>BSI.M.IT.N.A.A21.A.1.U2.2250.Z01.E 2026-06 = 134966</t>
  </si>
  <si>
    <t>ECB Data Portal BSI.M.ES.N.A.A21.A.1.U2.2250.Z01.E</t>
  </si>
  <si>
    <t>BSI.M.ES.N.A.A21.A.1.U2.2250.Z01.E 2026-06 = 118808</t>
  </si>
  <si>
    <t>ECB Data Portal BSI.M.NL.N.A.A21.A.1.U2.2250.Z01.E</t>
  </si>
  <si>
    <t>BSI.M.NL.N.A.A21.A.1.U2.2250.Z01.E 2026-06 = 6821</t>
  </si>
  <si>
    <r>
      <rPr>
        <sz val="11"/>
        <color theme="1"/>
        <rFont val="Calibri"/>
        <family val="2"/>
        <charset val="1"/>
      </rPr>
      <t xml:space="preserve">ECB BSI API lastNObservations </t>
    </r>
    <r>
      <rPr>
        <sz val="11"/>
        <color theme="1"/>
        <rFont val="Noto Sans CJK SC"/>
        <family val="2"/>
      </rPr>
      <t xml:space="preserve">已核验 </t>
    </r>
    <r>
      <rPr>
        <sz val="11"/>
        <color theme="1"/>
        <rFont val="Calibri"/>
        <family val="2"/>
        <charset val="1"/>
      </rPr>
      <t>2026-06;</t>
    </r>
    <r>
      <rPr>
        <sz val="11"/>
        <color theme="1"/>
        <rFont val="Noto Sans CJK SC"/>
        <family val="2"/>
      </rPr>
      <t>荷兰</t>
    </r>
    <r>
      <rPr>
        <sz val="11"/>
        <color theme="1"/>
        <rFont val="Calibri"/>
        <family val="2"/>
        <charset val="1"/>
      </rPr>
      <t>BSIconsumer</t>
    </r>
    <r>
      <rPr>
        <sz val="11"/>
        <color theme="1"/>
        <rFont val="Noto Sans CJK SC"/>
        <family val="2"/>
      </rPr>
      <t>信贷口径偏窄，数字显著偏低属统计分类</t>
    </r>
  </si>
  <si>
    <t>ECB Data Portal BSI.M.IE.N.A.A21.A.1.U2.2250.Z01.E</t>
  </si>
  <si>
    <t>BSI.M.IE.N.A.A21.A.1.U2.2250.Z01.E 2026-06 = 14536</t>
  </si>
  <si>
    <t>ECB Data Portal BSI.M.PT.N.A.A21.A.1.U2.2250.Z01.E</t>
  </si>
  <si>
    <t>BSI.M.PT.N.A.A21.A.1.U2.2250.Z01.E 2026-06 = 22514.94</t>
  </si>
  <si>
    <t>ECB Data Portal BSI.M.SE.N.A.A21.A.1.U6.2250.Z01.E</t>
  </si>
  <si>
    <t>BSI.M.SE.N.A.A21.A.1.U6.2250.Z01.E 2026-06 = 28897.73</t>
  </si>
  <si>
    <t>ECB Data Portal BSI.M.PL.N.A.A21.A.1.U6.2250.Z01.E</t>
  </si>
  <si>
    <t>BSI.M.PL.N.A.A21.A.1.U6.2250.Z01.E 2026-06 = 57015.71</t>
  </si>
  <si>
    <t>bln rubles</t>
  </si>
  <si>
    <t>Household financial assets and liabilities</t>
  </si>
  <si>
    <t>Consumer loans* balance = 13,488 (bln rubles) as of 01.07.2026</t>
  </si>
  <si>
    <t>官网表已核；另有MFC loans约161bln可作non-bank补充待另行列；2026-08-11 verification: USD conv corrected (RUB 77.52)</t>
  </si>
  <si>
    <t>Banking system consumer loans (excl. RREL)</t>
  </si>
  <si>
    <t>PBS consumer loans (excl. RREL)</t>
  </si>
  <si>
    <t>PHP millions</t>
  </si>
  <si>
    <t>Loans Outstanding for Production and Consumer Loans (PBS) tab24b</t>
  </si>
  <si>
    <t>https://www.bsp.gov.ph/Statistics/Financial%20System%20Accounts/tab24b_pbs.aspx</t>
  </si>
  <si>
    <t>B. For Consumer Loans … 2,781,511 (latest column)</t>
  </si>
  <si>
    <t>比Q3-2025季报更新；推荐用此行；2026-08-11: excl-RREL switch applied then REVERTED pending team confirmation on mortgage scope</t>
  </si>
  <si>
    <t>Non-bank microloan company loan balance</t>
  </si>
  <si>
    <t>Microloan companies — loan outstanding</t>
  </si>
  <si>
    <t>亿元 → ×1e8</t>
  </si>
  <si>
    <t>中国人民银行</t>
  </si>
  <si>
    <t>截至2025年9月末…贷款余额7229亿元</t>
  </si>
  <si>
    <r>
      <rPr>
        <sz val="11"/>
        <color theme="1"/>
        <rFont val="Calibri"/>
        <family val="2"/>
        <charset val="1"/>
      </rPr>
      <t>central bank</t>
    </r>
    <r>
      <rPr>
        <sz val="11"/>
        <color theme="1"/>
        <rFont val="Noto Sans CJK SC"/>
        <family val="2"/>
      </rPr>
      <t>官网正文已核；</t>
    </r>
    <r>
      <rPr>
        <sz val="11"/>
        <color theme="1"/>
        <rFont val="Calibri"/>
        <family val="2"/>
        <charset val="1"/>
      </rPr>
      <t>microfinance/microloan</t>
    </r>
    <r>
      <rPr>
        <sz val="11"/>
        <color theme="1"/>
        <rFont val="Noto Sans CJK SC"/>
        <family val="2"/>
      </rPr>
      <t>含经营贷等，标</t>
    </r>
    <r>
      <rPr>
        <sz val="11"/>
        <color theme="1"/>
        <rFont val="Calibri"/>
        <family val="2"/>
        <charset val="1"/>
      </rPr>
      <t>mixed</t>
    </r>
  </si>
  <si>
    <t>millions FCFA → ×1e6</t>
  </si>
  <si>
    <t>Principaux indicateurs des SFD de l'UMOA au 30/09/2025</t>
  </si>
  <si>
    <t>BJ Encours des crédits ≈ 246,984.3 (millions FCFA)</t>
  </si>
  <si>
    <t>法语official；本地PDF verified验表结构（sample量&gt;90%行业）</t>
  </si>
  <si>
    <t>BF Encours des crédits ≈ 428,265.5 (millions FCFA)</t>
  </si>
  <si>
    <t>CI Encours des crédits ≈ 721,221.6 (millions FCFA)</t>
  </si>
  <si>
    <t>ML Encours des crédits ≈ 203,501.2 (millions FCFA)</t>
  </si>
  <si>
    <t>SN Encours des crédits ≈ 805,217.3 (millions FCFA)</t>
  </si>
  <si>
    <t>billion TZS</t>
  </si>
  <si>
    <t>outstanding loans … Tier 2 MSPs … TZS 1,377.46 billion</t>
  </si>
  <si>
    <t>billion RWF</t>
  </si>
  <si>
    <t>Outstanding loans for the Microfinance sector … FRW 611.6 billion</t>
  </si>
  <si>
    <t>含SACCO等</t>
  </si>
  <si>
    <t>billion ZiG</t>
  </si>
  <si>
    <t>Quarterly Microfinance Industry Report 31 Dec 2025</t>
  </si>
  <si>
    <t>Total Loans … Dec-2025 | 7.19bn ZiG</t>
  </si>
  <si>
    <r>
      <rPr>
        <sz val="11"/>
        <color theme="1"/>
        <rFont val="Calibri"/>
        <family val="2"/>
        <charset val="1"/>
      </rPr>
      <t>ZiG</t>
    </r>
    <r>
      <rPr>
        <sz val="11"/>
        <color theme="1"/>
        <rFont val="Noto Sans CJK SC"/>
        <family val="2"/>
      </rPr>
      <t>汇率</t>
    </r>
    <r>
      <rPr>
        <sz val="11"/>
        <color theme="1"/>
        <rFont val="Calibri"/>
        <family val="2"/>
        <charset val="1"/>
      </rPr>
      <t>indicative</t>
    </r>
    <r>
      <rPr>
        <sz val="11"/>
        <color theme="1"/>
        <rFont val="Noto Sans CJK SC"/>
        <family val="2"/>
      </rPr>
      <t>，</t>
    </r>
    <r>
      <rPr>
        <sz val="11"/>
        <color theme="1"/>
        <rFont val="Calibri"/>
        <family val="2"/>
        <charset val="1"/>
      </rPr>
      <t>local currency is authoritative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2026-08-11 R2: ZiG7.19bn re-verified — extracted directly from cited RBZ Dec-2025 report (4.52 credit-only + 2.66 deposit-taking)</t>
    </r>
  </si>
  <si>
    <t>millions FCFA</t>
  </si>
  <si>
    <t>COBAC/BEAC</t>
  </si>
  <si>
    <t>Rapport Annuel COBAC 2024</t>
  </si>
  <si>
    <t>Cameroun 2024 … 659 411 (millions de FCFA)</t>
  </si>
  <si>
    <t>Gabon 2024 … 112 302</t>
  </si>
  <si>
    <t>billion Birr</t>
  </si>
  <si>
    <t>NBE</t>
  </si>
  <si>
    <t>Gross loans … 48.9 (Billions of Birr)</t>
  </si>
  <si>
    <r>
      <rPr>
        <sz val="11"/>
        <color theme="1"/>
        <rFont val="Calibri"/>
        <family val="2"/>
        <charset val="1"/>
      </rPr>
      <t>NBE FSR</t>
    </r>
    <r>
      <rPr>
        <sz val="11"/>
        <color theme="1"/>
        <rFont val="Noto Sans CJK SC"/>
        <family val="2"/>
      </rPr>
      <t>转载</t>
    </r>
    <r>
      <rPr>
        <sz val="11"/>
        <color theme="1"/>
        <rFont val="Calibri"/>
        <family val="2"/>
        <charset val="1"/>
      </rPr>
      <t>PDF</t>
    </r>
  </si>
  <si>
    <t>BWP million</t>
  </si>
  <si>
    <t>NBFIRA Annual Report 2024</t>
  </si>
  <si>
    <t>Loan Book Values … 8,761 (2023)</t>
  </si>
  <si>
    <t>基于报送sample；2026-08-11: replaced garbled assets figure with BoB survey P8.5bn (Dec-2024)</t>
  </si>
  <si>
    <t>billion NAD</t>
  </si>
  <si>
    <r>
      <rPr>
        <sz val="11"/>
        <color theme="1"/>
        <rFont val="Calibri"/>
        <family val="2"/>
        <charset val="1"/>
      </rPr>
      <t>NAMFISA</t>
    </r>
    <r>
      <rPr>
        <sz val="11"/>
        <color theme="1"/>
        <rFont val="Noto Sans CJK SC"/>
        <family val="2"/>
      </rPr>
      <t>（媒体转引）</t>
    </r>
  </si>
  <si>
    <t>Q4 2025 microlending book (The Brief)</t>
  </si>
  <si>
    <t>semi_official</t>
  </si>
  <si>
    <t>microlending loan book … N$7.5 billion … Q4 2025</t>
  </si>
  <si>
    <r>
      <rPr>
        <sz val="11"/>
        <color theme="1"/>
        <rFont val="Calibri"/>
        <family val="2"/>
        <charset val="1"/>
      </rPr>
      <t>cited viaNAMFISA</t>
    </r>
    <r>
      <rPr>
        <sz val="11"/>
        <color theme="1"/>
        <rFont val="Noto Sans CJK SC"/>
        <family val="2"/>
      </rPr>
      <t>公报</t>
    </r>
  </si>
  <si>
    <t>Rs million</t>
  </si>
  <si>
    <t>Monthly Statistical Bulletin Dec 2025</t>
  </si>
  <si>
    <t>NBDTIs … Households … 59,189 (Rs million)</t>
  </si>
  <si>
    <t>含住房；2026-08-12: verified by direct inspection (BOM MSB Table 19); housing 19,379M deducted → net 39,810M</t>
  </si>
  <si>
    <t>mil milhões AOA</t>
  </si>
  <si>
    <t>BNA DSN</t>
  </si>
  <si>
    <t>Sector Financeiro Não Bancário – Visão… (DSN)</t>
  </si>
  <si>
    <t>microcrédito concedido pelas SMC … 26,53 mil milhões de Kwanzas</t>
  </si>
  <si>
    <t>葡语official演示材料</t>
  </si>
  <si>
    <t>milhões MZN</t>
  </si>
  <si>
    <r>
      <rPr>
        <sz val="11"/>
        <color theme="1"/>
        <rFont val="Calibri"/>
        <family val="2"/>
        <charset val="1"/>
      </rPr>
      <t>BdM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Lusa/Observador</t>
    </r>
    <r>
      <rPr>
        <sz val="11"/>
        <color theme="1"/>
        <rFont val="Noto Sans CJK SC"/>
        <family val="2"/>
      </rPr>
      <t>转引）</t>
    </r>
  </si>
  <si>
    <t>Stock do crédito … dados BdM</t>
  </si>
  <si>
    <t>crédito a particulares … 92.175 milhões de meticais</t>
  </si>
  <si>
    <t>银行体系personal贷</t>
  </si>
  <si>
    <t>UGX absolute</t>
  </si>
  <si>
    <t>AMFIU</t>
  </si>
  <si>
    <t>PMT Quarterly Performance Report Q1 2025</t>
  </si>
  <si>
    <t>MFIs 724,467,043,047 outstanding portfolio</t>
  </si>
  <si>
    <t>行业associationsample</t>
  </si>
  <si>
    <t>GHS million</t>
  </si>
  <si>
    <t>GHASALC</t>
  </si>
  <si>
    <t>15th AGM sector performance</t>
  </si>
  <si>
    <t>net loans … GH₵5,654.15 million</t>
  </si>
  <si>
    <r>
      <rPr>
        <sz val="11"/>
        <color theme="1"/>
        <rFont val="Calibri"/>
        <family val="2"/>
        <charset val="1"/>
      </rPr>
      <t>association</t>
    </r>
    <r>
      <rPr>
        <sz val="11"/>
        <color theme="1"/>
        <rFont val="Noto Sans CJK SC"/>
        <family val="2"/>
      </rPr>
      <t>披露</t>
    </r>
  </si>
  <si>
    <t>≥142 nghìn tỷ đồng</t>
  </si>
  <si>
    <r>
      <rPr>
        <sz val="11"/>
        <color theme="1"/>
        <rFont val="Calibri"/>
        <family val="2"/>
        <charset val="1"/>
      </rPr>
      <t>NHNN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DIV</t>
    </r>
    <r>
      <rPr>
        <sz val="11"/>
        <color theme="1"/>
        <rFont val="Noto Sans CJK SC"/>
        <family val="2"/>
      </rPr>
      <t>转载）</t>
    </r>
  </si>
  <si>
    <t>Đa dạng hóa … cho vay tiêu dùng</t>
  </si>
  <si>
    <t>dư nợ … 16 công ty tài chính đạt trên 142 nghìn tỷ đồng</t>
  </si>
  <si>
    <t>越语official转载；“trên”为下限</t>
  </si>
  <si>
    <t>System-wide living-purpose loans</t>
  </si>
  <si>
    <t>Dư nợ PVNCĐS toàn hệ thống</t>
  </si>
  <si>
    <t>≥3.1 triệu tỷ đồng</t>
  </si>
  <si>
    <t>2024-09-30</t>
  </si>
  <si>
    <r>
      <rPr>
        <sz val="11"/>
        <color theme="1"/>
        <rFont val="Calibri"/>
        <family val="2"/>
        <charset val="1"/>
      </rPr>
      <t>NHNN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DIV</t>
    </r>
    <r>
      <rPr>
        <sz val="11"/>
        <color theme="1"/>
        <rFont val="Noto Sans CJK SC"/>
        <family val="2"/>
      </rPr>
      <t>）</t>
    </r>
  </si>
  <si>
    <t>tổng dư nợ PVNCĐS đạt trên 3,1 triệu tỷ đồng</t>
  </si>
  <si>
    <r>
      <rPr>
        <sz val="11"/>
        <color theme="1"/>
        <rFont val="Calibri"/>
        <family val="2"/>
        <charset val="1"/>
      </rPr>
      <t>includes banks</t>
    </r>
    <r>
      <rPr>
        <sz val="11"/>
        <color theme="1"/>
        <rFont val="Noto Sans CJK SC"/>
        <family val="2"/>
      </rPr>
      <t>；推荐用金融公司</t>
    </r>
    <r>
      <rPr>
        <sz val="11"/>
        <color theme="1"/>
        <rFont val="Calibri"/>
        <family val="2"/>
        <charset val="1"/>
      </rPr>
      <t>142</t>
    </r>
    <r>
      <rPr>
        <sz val="11"/>
        <color theme="1"/>
        <rFont val="Noto Sans CJK SC"/>
        <family val="2"/>
      </rPr>
      <t>千亿</t>
    </r>
  </si>
  <si>
    <t>孟加拉国</t>
  </si>
  <si>
    <t>BDT crore → ×1e7</t>
  </si>
  <si>
    <t>Quarterly Report on CMSME Financing Jan-Mar 2026</t>
  </si>
  <si>
    <t>Finance Companies 56,553.19 (crore) total loans column</t>
  </si>
  <si>
    <r>
      <rPr>
        <sz val="11"/>
        <color theme="1"/>
        <rFont val="Calibri"/>
        <family val="2"/>
        <charset val="1"/>
      </rPr>
      <t>BBofficial</t>
    </r>
    <r>
      <rPr>
        <sz val="11"/>
        <color theme="1"/>
        <rFont val="Noto Sans CJK SC"/>
        <family val="2"/>
      </rPr>
      <t>季报；另有</t>
    </r>
    <r>
      <rPr>
        <sz val="11"/>
        <color theme="1"/>
        <rFont val="Calibri"/>
        <family val="2"/>
        <charset val="1"/>
      </rPr>
      <t>media</t>
    </r>
    <r>
      <rPr>
        <sz val="11"/>
        <color theme="1"/>
        <rFont val="Noto Sans CJK SC"/>
        <family val="2"/>
      </rPr>
      <t>引</t>
    </r>
    <r>
      <rPr>
        <sz val="11"/>
        <color theme="1"/>
        <rFont val="Calibri"/>
        <family val="2"/>
        <charset val="1"/>
      </rPr>
      <t>NBFC 78,424.77 crore</t>
    </r>
  </si>
  <si>
    <t>Microcredit outstanding (Grameen + 10 large MFIs)</t>
  </si>
  <si>
    <t>Microcredit outstanding — Grameen + 10 large MFIs</t>
  </si>
  <si>
    <t>BDT crore</t>
  </si>
  <si>
    <t>2026-05-31</t>
  </si>
  <si>
    <t>Monthly Report on Agricultural &amp; Rural Financing May 2026</t>
  </si>
  <si>
    <t>https://www.bb.org.bd/pub/monthly/agri_rural_financing/agri_may26.pdf</t>
  </si>
  <si>
    <t>outstanding microcredit balance … BDT 135,445.96 crore</t>
  </si>
  <si>
    <t>非全量MRA宇宙</t>
  </si>
  <si>
    <t>Rs billion</t>
  </si>
  <si>
    <t>Financial Soundness Indicators 2026 Q1</t>
  </si>
  <si>
    <t>Loans &amp; Advances (Net) … 2,450.3 (2026 Q1)</t>
  </si>
  <si>
    <t>蒙古</t>
  </si>
  <si>
    <t>тэрбум төгрөг</t>
  </si>
  <si>
    <t>Санхүүгийн салбарын тойм 2025</t>
  </si>
  <si>
    <t>Нийт зээл 7,216.3</t>
  </si>
  <si>
    <t>蒙古语official</t>
  </si>
  <si>
    <t>млрд сўм</t>
  </si>
  <si>
    <t>CBU</t>
  </si>
  <si>
    <t>Микромолия ташкилотларининг муаммоли кредитлари</t>
  </si>
  <si>
    <t>Жами (132 та ММТ) | кредит қолдиғи 10 838,4</t>
  </si>
  <si>
    <t>乌兹别克语官网表</t>
  </si>
  <si>
    <t>млрд сомони</t>
  </si>
  <si>
    <t>Натиҷаҳои фаъолияти низоми бонкӣ дар соли 2025</t>
  </si>
  <si>
    <t>Общий остаток кредитного портфеля … 26,1 млрд сомони</t>
  </si>
  <si>
    <r>
      <rPr>
        <sz val="11"/>
        <color theme="1"/>
        <rFont val="Calibri"/>
        <family val="2"/>
        <charset val="1"/>
      </rPr>
      <t>includes banks</t>
    </r>
    <r>
      <rPr>
        <sz val="11"/>
        <color theme="1"/>
        <rFont val="Noto Sans CJK SC"/>
        <family val="2"/>
      </rPr>
      <t>；纯</t>
    </r>
    <r>
      <rPr>
        <sz val="11"/>
        <color theme="1"/>
        <rFont val="Calibri"/>
        <family val="2"/>
        <charset val="1"/>
      </rPr>
      <t>MFI</t>
    </r>
    <r>
      <rPr>
        <sz val="11"/>
        <color theme="1"/>
        <rFont val="Noto Sans CJK SC"/>
        <family val="2"/>
      </rPr>
      <t>贷款余额未见单独绝对数；</t>
    </r>
    <r>
      <rPr>
        <sz val="11"/>
        <color theme="1"/>
        <rFont val="Calibri"/>
        <family val="2"/>
        <charset val="1"/>
      </rPr>
      <t>2026-08-11 verification: USD conv corrected (TJS 9.2)</t>
    </r>
  </si>
  <si>
    <t>billion manats</t>
  </si>
  <si>
    <r>
      <rPr>
        <sz val="11"/>
        <color theme="1"/>
        <rFont val="Calibri"/>
        <family val="2"/>
        <charset val="1"/>
      </rPr>
      <t>CBT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business.com.tm</t>
    </r>
    <r>
      <rPr>
        <sz val="11"/>
        <color theme="1"/>
        <rFont val="Noto Sans CJK SC"/>
        <family val="2"/>
      </rPr>
      <t>转引）</t>
    </r>
  </si>
  <si>
    <t>Outstanding Bank Loans … Near 100.2 Billion Manats</t>
  </si>
  <si>
    <t>loans … citizens and entrepreneurs … 33.650 billion manats</t>
  </si>
  <si>
    <t>银行体系；officialManat汇率敏感</t>
  </si>
  <si>
    <t>S$ billion</t>
  </si>
  <si>
    <r>
      <rPr>
        <sz val="11"/>
        <color theme="1"/>
        <rFont val="Calibri"/>
        <family val="2"/>
        <charset val="1"/>
      </rPr>
      <t>SingStat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BT</t>
    </r>
    <r>
      <rPr>
        <sz val="11"/>
        <color theme="1"/>
        <rFont val="Noto Sans CJK SC"/>
        <family val="2"/>
      </rPr>
      <t>转引）</t>
    </r>
  </si>
  <si>
    <t>Singapore households' net wealth…</t>
  </si>
  <si>
    <t>Personal loans … to S$118.6 billion</t>
  </si>
  <si>
    <t>对应official表M700981；含卡/车等</t>
  </si>
  <si>
    <t>billones COP (=10^12)</t>
  </si>
  <si>
    <r>
      <rPr>
        <sz val="11"/>
        <color theme="1"/>
        <rFont val="Calibri"/>
        <family val="2"/>
        <charset val="1"/>
      </rPr>
      <t>SFC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El País</t>
    </r>
    <r>
      <rPr>
        <sz val="11"/>
        <color theme="1"/>
        <rFont val="Noto Sans CJK SC"/>
        <family val="2"/>
      </rPr>
      <t>转引）</t>
    </r>
  </si>
  <si>
    <t>Estas son las deudas…</t>
  </si>
  <si>
    <t>cartera de consumo sumó $221,7 billones</t>
  </si>
  <si>
    <r>
      <rPr>
        <sz val="11"/>
        <color theme="1"/>
        <rFont val="Calibri"/>
        <family val="2"/>
        <charset val="1"/>
      </rPr>
      <t>includes banks+finance companies</t>
    </r>
    <r>
      <rPr>
        <sz val="11"/>
        <color theme="1"/>
        <rFont val="Noto Sans CJK SC"/>
        <family val="2"/>
      </rPr>
      <t>等</t>
    </r>
    <r>
      <rPr>
        <sz val="11"/>
        <color theme="1"/>
        <rFont val="Calibri"/>
        <family val="2"/>
        <charset val="1"/>
      </rPr>
      <t>EC</t>
    </r>
  </si>
  <si>
    <t>thousand dinars → native</t>
  </si>
  <si>
    <t>LEASING COMPANIES MONTHLY STATEMENT</t>
  </si>
  <si>
    <t>Leasing transactions Jan 2026 = 4,469,515 (thousand dinars)</t>
  </si>
  <si>
    <t>Other consumer credit (commercial banks)</t>
  </si>
  <si>
    <t>Autres crédits à la consommation (banques)</t>
  </si>
  <si>
    <t>billion TND</t>
  </si>
  <si>
    <r>
      <rPr>
        <sz val="11"/>
        <color theme="1"/>
        <rFont val="Calibri"/>
        <family val="2"/>
        <charset val="1"/>
      </rPr>
      <t>BCT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La Presse</t>
    </r>
    <r>
      <rPr>
        <sz val="11"/>
        <color theme="1"/>
        <rFont val="Noto Sans CJK SC"/>
        <family val="2"/>
      </rPr>
      <t>转引）</t>
    </r>
  </si>
  <si>
    <t>Les banques tunisiennes resserrent…</t>
  </si>
  <si>
    <t>https://www.lapresse.tn/2026/05/29/les-banques-tunisiennes-resserrent-lacces-au-credit-pour-les-particuliers/</t>
  </si>
  <si>
    <t>autres crédits à la consommation … 5,389 milliards de dinars</t>
  </si>
  <si>
    <t>USD as reported by AGBI from CBO</t>
  </si>
  <si>
    <r>
      <rPr>
        <sz val="11"/>
        <color theme="1"/>
        <rFont val="Calibri"/>
        <family val="2"/>
        <charset val="1"/>
      </rPr>
      <t>CBO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AGBI</t>
    </r>
    <r>
      <rPr>
        <sz val="11"/>
        <color theme="1"/>
        <rFont val="Noto Sans CJK SC"/>
        <family val="2"/>
      </rPr>
      <t>转引）</t>
    </r>
  </si>
  <si>
    <t>Personal loans lift Oman bank lending to $90bn</t>
  </si>
  <si>
    <t>personal loans … to $32.2 billion</t>
  </si>
  <si>
    <t>美元转述；非finance companies拆分</t>
  </si>
  <si>
    <t>million JOD</t>
  </si>
  <si>
    <r>
      <rPr>
        <sz val="11"/>
        <color theme="1"/>
        <rFont val="Calibri"/>
        <family val="2"/>
        <charset val="1"/>
      </rPr>
      <t>Tanmeyah</t>
    </r>
    <r>
      <rPr>
        <sz val="11"/>
        <color theme="1"/>
        <rFont val="Noto Sans CJK SC"/>
        <family val="2"/>
      </rPr>
      <t>网络</t>
    </r>
  </si>
  <si>
    <t>ملخص تقرير شبكة تنمية Q4 2025</t>
  </si>
  <si>
    <t>محفظة القروض القائمة … 257.5 مليون دينار</t>
  </si>
  <si>
    <t>阿拉伯语association报告</t>
  </si>
  <si>
    <t>Bank personal loans (narrow)</t>
  </si>
  <si>
    <t>Personal loans</t>
  </si>
  <si>
    <t>billion JOD</t>
  </si>
  <si>
    <r>
      <rPr>
        <sz val="11"/>
        <color theme="1"/>
        <rFont val="Calibri"/>
        <family val="2"/>
        <charset val="1"/>
      </rPr>
      <t>CBJ</t>
    </r>
    <r>
      <rPr>
        <sz val="11"/>
        <color theme="1"/>
        <rFont val="Noto Sans CJK SC"/>
        <family val="2"/>
      </rPr>
      <t>（媒体转引）</t>
    </r>
  </si>
  <si>
    <t>Personal Loans Declined … Q4 2025</t>
  </si>
  <si>
    <t>https://www.jordannews.jo/Section-113/All/Personal-Loans-Declined-by-the-End-of-the-Final-Quarter-of-2025-52923</t>
  </si>
  <si>
    <t>Personal loans … JOD 4.450 billion</t>
  </si>
  <si>
    <t>млрд сомов</t>
  </si>
  <si>
    <r>
      <rPr>
        <sz val="11"/>
        <color theme="1"/>
        <rFont val="Calibri"/>
        <family val="2"/>
        <charset val="1"/>
      </rPr>
      <t>НБКР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24.kg</t>
    </r>
    <r>
      <rPr>
        <sz val="11"/>
        <color theme="1"/>
        <rFont val="Noto Sans CJK SC"/>
        <family val="2"/>
      </rPr>
      <t>转引）</t>
    </r>
  </si>
  <si>
    <t>Активы МФО достигли 71,2 млрд сомов</t>
  </si>
  <si>
    <t>кредитный портфель МФО достиг 57,6 миллиарда сомов … на 30 сентября 2025</t>
  </si>
  <si>
    <t>俄语mediacited viacentral bank；另有FSR 2025H1 NFKO 54.4bn</t>
  </si>
  <si>
    <t>NFKO loan portfolio</t>
  </si>
  <si>
    <t>НБКР</t>
  </si>
  <si>
    <t>Отчет о стабильности финансового сектора I пол. 2025</t>
  </si>
  <si>
    <t>https://www.nbkr.kg/DOC/31122025/000000000066468.pdf</t>
  </si>
  <si>
    <t>кредитный портфель НФКО … 54,4 млрд сомов</t>
  </si>
  <si>
    <t>officialFSR</t>
  </si>
  <si>
    <t>million LYD</t>
  </si>
  <si>
    <t>Central Bank of Libya</t>
  </si>
  <si>
    <t>Main Financial Data and Indicators of Libyan Banks 2025</t>
  </si>
  <si>
    <t>Murabaha Loans to Individuals … 17,108.0</t>
  </si>
  <si>
    <t>银行对personal穆拉巴哈；2026-08-11 verification: USD conv corrected (LYD 5.5677)</t>
  </si>
  <si>
    <t>مليار ريال</t>
  </si>
  <si>
    <r>
      <rPr>
        <sz val="11"/>
        <color theme="1"/>
        <rFont val="Calibri"/>
        <family val="2"/>
        <charset val="1"/>
      </rPr>
      <t>QCB/</t>
    </r>
    <r>
      <rPr>
        <sz val="11"/>
        <color theme="1"/>
        <rFont val="Noto Sans CJK SC"/>
        <family val="2"/>
      </rPr>
      <t>银行并表（阿拉伯语媒体转引）</t>
    </r>
  </si>
  <si>
    <t>القروض الشخصية في قطر … 114.7 مليار</t>
  </si>
  <si>
    <t>القروض الشخصية … 114.7 مليار ريال … 64.2% من القروض الاستهلاكية 178.7 مليار</t>
  </si>
  <si>
    <t>USD billion</t>
  </si>
  <si>
    <r>
      <rPr>
        <sz val="11"/>
        <color theme="1"/>
        <rFont val="Calibri"/>
        <family val="2"/>
        <charset val="1"/>
      </rPr>
      <t>PMA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Al-Quds</t>
    </r>
    <r>
      <rPr>
        <sz val="11"/>
        <color theme="1"/>
        <rFont val="Noto Sans CJK SC"/>
        <family val="2"/>
      </rPr>
      <t>转引</t>
    </r>
    <r>
      <rPr>
        <sz val="11"/>
        <color theme="1"/>
        <rFont val="Calibri"/>
        <family val="2"/>
        <charset val="1"/>
      </rPr>
      <t>FSR</t>
    </r>
    <r>
      <rPr>
        <sz val="11"/>
        <color theme="1"/>
        <rFont val="Noto Sans CJK SC"/>
        <family val="2"/>
      </rPr>
      <t>）</t>
    </r>
  </si>
  <si>
    <t>بين الراتب والقسط…</t>
  </si>
  <si>
    <t>https://alquds.com/ar/posts/237353</t>
  </si>
  <si>
    <t>الإقراض للأسر … قرابة 4.4 مليار دولار</t>
  </si>
  <si>
    <r>
      <rPr>
        <sz val="11"/>
        <color theme="1"/>
        <rFont val="Calibri"/>
        <family val="2"/>
        <charset val="1"/>
      </rPr>
      <t>2026-08-11: ex-mortgage switch applied then REVERTED pending team confirmation on whether mortgages are in TAM scope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2026-08-11 senior decision: net of mortgage (gross 4,190,000,000 − mortgage 1,080,000,000); see master cols AE/AF</t>
    </r>
  </si>
  <si>
    <r>
      <rPr>
        <sz val="11"/>
        <color theme="1"/>
        <rFont val="Calibri"/>
        <family val="2"/>
        <charset val="1"/>
      </rPr>
      <t>IMF FAS / FRED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BoZ</t>
    </r>
    <r>
      <rPr>
        <sz val="11"/>
        <color theme="1"/>
        <rFont val="Noto Sans CJK SC"/>
        <family val="2"/>
      </rPr>
      <t>监管宇宙）</t>
    </r>
  </si>
  <si>
    <t>ZMBFCSODMFXDC</t>
  </si>
  <si>
    <t>2023: 5,100,669,400 National Currency</t>
  </si>
  <si>
    <r>
      <rPr>
        <sz val="11"/>
        <color theme="1"/>
        <rFont val="Calibri"/>
        <family val="2"/>
        <charset val="1"/>
      </rPr>
      <t>somewhat dated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BoZ</t>
    </r>
    <r>
      <rPr>
        <sz val="11"/>
        <color theme="1"/>
        <rFont val="Noto Sans CJK SC"/>
        <family val="2"/>
      </rPr>
      <t>更新绝对数未取到</t>
    </r>
  </si>
  <si>
    <t>MFI credit outstanding</t>
  </si>
  <si>
    <t>milliards ariary</t>
  </si>
  <si>
    <r>
      <rPr>
        <sz val="11"/>
        <color theme="1"/>
        <rFont val="Calibri"/>
        <family val="2"/>
        <charset val="1"/>
      </rPr>
      <t>CSBF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2424.mg</t>
    </r>
    <r>
      <rPr>
        <sz val="11"/>
        <color theme="1"/>
        <rFont val="Noto Sans CJK SC"/>
        <family val="2"/>
      </rPr>
      <t>转引）</t>
    </r>
  </si>
  <si>
    <t>encours de crédit … 663 milliards d'ariary</t>
  </si>
  <si>
    <r>
      <rPr>
        <sz val="11"/>
        <color theme="1"/>
        <rFont val="Calibri"/>
        <family val="2"/>
        <charset val="1"/>
      </rPr>
      <t>somewhat dated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2026-08-11 R2: adopted IMF FAS MGA769.48bn (2023, deposit-taking MFIs) replacing dead-blog 663bn; usd 0.147→0.171</t>
    </r>
  </si>
  <si>
    <t>USD million</t>
  </si>
  <si>
    <r>
      <rPr>
        <sz val="11"/>
        <color theme="1"/>
        <rFont val="Calibri"/>
        <family val="2"/>
        <charset val="1"/>
      </rPr>
      <t>BCC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Radio Okapi</t>
    </r>
    <r>
      <rPr>
        <sz val="11"/>
        <color theme="1"/>
        <rFont val="Noto Sans CJK SC"/>
        <family val="2"/>
      </rPr>
      <t>转引）</t>
    </r>
  </si>
  <si>
    <t>accroissement des activités de la microfinance…</t>
  </si>
  <si>
    <t>crédits s'établissent à 369 millions USD en 2023</t>
  </si>
  <si>
    <r>
      <rPr>
        <sz val="11"/>
        <color theme="1"/>
        <rFont val="Calibri"/>
        <family val="2"/>
        <charset val="1"/>
      </rPr>
      <t>somewhat dated</t>
    </r>
    <r>
      <rPr>
        <sz val="11"/>
        <color theme="1"/>
        <rFont val="Noto Sans CJK SC"/>
        <family val="2"/>
      </rPr>
      <t>；</t>
    </r>
    <r>
      <rPr>
        <sz val="11"/>
        <color theme="1"/>
        <rFont val="Calibri"/>
        <family val="2"/>
        <charset val="1"/>
      </rPr>
      <t>2025</t>
    </r>
    <r>
      <rPr>
        <sz val="11"/>
        <color theme="1"/>
        <rFont val="Noto Sans CJK SC"/>
        <family val="2"/>
      </rPr>
      <t>有总资产无信贷拆分</t>
    </r>
  </si>
  <si>
    <t>billion YER</t>
  </si>
  <si>
    <t>Monetary and Financial Developments No.44</t>
  </si>
  <si>
    <t>credit … to the private sector was YER 2,094.5 billion</t>
  </si>
  <si>
    <t>私人部门信贷含企业，not pure personal；official未见家庭拆分；2026-08-11 verification: USD conv corrected (YER 2212.70)</t>
  </si>
  <si>
    <t>Field</t>
  </si>
  <si>
    <t>Meaning</t>
  </si>
  <si>
    <t>Source</t>
  </si>
  <si>
    <t>Notes</t>
  </si>
  <si>
    <t>Developed / Developing·Emerging</t>
  </si>
  <si>
    <t>IMF World Economic Outlook country groups</t>
  </si>
  <si>
    <t>IMF official terms: Advanced vs Emerging market and developing economies; Chinese short labels mapped for filtering</t>
  </si>
  <si>
    <t>Advanced economy / Emerging market and developing economy</t>
  </si>
  <si>
    <t>IMF WEO Statistical Appendix (April 2026)</t>
  </si>
  <si>
    <t>https://www.imf.org/-/media/files/publications/weo/2026/april/english/statsappendix.pdf</t>
  </si>
  <si>
    <t>High / Upper middle / Lower middle / Low income</t>
  </si>
  <si>
    <t>World Bank country API incomeLevel</t>
  </si>
  <si>
    <t>https://api.worldbank.org/v2/country?format=json&amp;per_page=400 ; snapshot under nbfc-evidence/2026-08-10/</t>
  </si>
  <si>
    <t>HIC / UMC / LMC / LIC</t>
  </si>
  <si>
    <t>Same as above</t>
  </si>
  <si>
    <t>World Bank no longer uses a formal developed/developing binary; income quartiles are the primary taxonomy</t>
  </si>
  <si>
    <t>Geographic/operational region</t>
  </si>
  <si>
    <t>World Bank region field</t>
  </si>
  <si>
    <t>e.g. East Asia &amp; Pacific, South Asia</t>
  </si>
  <si>
    <t>Yes / No</t>
  </si>
  <si>
    <t>OECD membership</t>
  </si>
  <si>
    <t>Related to but not identical with IMF Advanced (e.g. Mexico is OECD but IMF EMDE)</t>
  </si>
  <si>
    <t>Composite filter tag</t>
  </si>
  <si>
    <t>This workbook</t>
  </si>
  <si>
    <t>Format: IMF group | WB income | OECD</t>
  </si>
  <si>
    <t>Taiwan (TW)</t>
  </si>
  <si>
    <t>IMF Advanced; WB income blank</t>
  </si>
  <si>
    <t>Special handling</t>
  </si>
  <si>
    <t>World Bank country API has no separate Taiwan economy entry</t>
  </si>
  <si>
    <t>country</t>
  </si>
  <si>
    <t>type</t>
  </si>
  <si>
    <t>verified</t>
  </si>
  <si>
    <t>SA_SAMA_Key_Economic_Developments_Q3_2025.pdf</t>
  </si>
  <si>
    <t>pdf</t>
  </si>
  <si>
    <t>SAMA</t>
  </si>
  <si>
    <t>YES</t>
  </si>
  <si>
    <t>AE_CBUAE_Q4_2025_Monetary.pdf</t>
  </si>
  <si>
    <t>JP_FSA_kasikin_202503.pdf</t>
  </si>
  <si>
    <t>ZA_NCR_CCMR_Q2_2025.pdf</t>
  </si>
  <si>
    <t>MA_BAM_RSF_2025.pdf</t>
  </si>
  <si>
    <t>BAM</t>
  </si>
  <si>
    <t>KE_CMA_FSSR_2025.pdf</t>
  </si>
  <si>
    <t>CMA</t>
  </si>
  <si>
    <t>IL_BOI_Debt_Q3_2025.pdf</t>
  </si>
  <si>
    <t>BoI</t>
  </si>
  <si>
    <t>GB_BoE_Money_Credit_Tables_June_2026.xlsx</t>
  </si>
  <si>
    <t>xlsx</t>
  </si>
  <si>
    <t>BoE</t>
  </si>
  <si>
    <t>YES — 256.333</t>
  </si>
  <si>
    <t>CA_StatCan_36100639.zip</t>
  </si>
  <si>
    <t>csv</t>
  </si>
  <si>
    <t>StatCan</t>
  </si>
  <si>
    <t>YES — 827701</t>
  </si>
  <si>
    <t>Topic</t>
  </si>
  <si>
    <t>Description</t>
  </si>
  <si>
    <t>Workbook date</t>
  </si>
  <si>
    <t>Language</t>
  </si>
  <si>
    <t>English edition of nbfc-loan-book-strict-refresh-2026-08-10.xlsx (Chinese source of truth mirrored)</t>
  </si>
  <si>
    <t>Loan amount priority</t>
  </si>
  <si>
    <t>1) non-bank personal/consumer outstanding → 2) non-bank mixed credit → 3) personal/household total (may include banks)</t>
  </si>
  <si>
    <t>Institution count priority</t>
  </si>
  <si>
    <t>Licensed/registered absolute headcounts from regulators; else association/law firm/Big4 citing absolute counts</t>
  </si>
  <si>
    <t>Quality – official</t>
  </si>
  <si>
    <t>Government / financial regulator PDF, stats portal, official API/register</t>
  </si>
  <si>
    <t>Quality – semi-official</t>
  </si>
  <si>
    <t>Industry association, law firm, Big4/consulting, or regulator figures cited by reputable press</t>
  </si>
  <si>
    <t>Exclusion rule</t>
  </si>
  <si>
    <t>No amount/count without citable URL + quote/table ref; placeholders forbidden</t>
  </si>
  <si>
    <t>USD column</t>
  </si>
  <si>
    <t>Indicative FX conversion only; local-currency figures are authoritative</t>
  </si>
  <si>
    <t>Country classification</t>
  </si>
  <si>
    <t>IMF WEO Advanced/EMDE + World Bank income groups + OECD membership</t>
  </si>
  <si>
    <t>Local-language research</t>
  </si>
  <si>
    <t>French (BCEAO/COBAC), Portuguese, Vietnamese, Arabic, Mongolian, Uzbek, Dutch, Swedish, etc. used for PENDING fill</t>
  </si>
  <si>
    <t>Evidence files</t>
  </si>
  <si>
    <t>web/public/downloads/nbfc-evidence/2026-08-10/</t>
  </si>
  <si>
    <t>check</t>
  </si>
  <si>
    <t>result</t>
  </si>
  <si>
    <t>detail</t>
  </si>
  <si>
    <t>明细均有URL+摘录</t>
  </si>
  <si>
    <t>n=49</t>
  </si>
  <si>
    <t>新增ECB 9国API核验</t>
  </si>
  <si>
    <t>DE/FR/IT/ES/NL/IE/PT/SE/PL 2026-06</t>
  </si>
  <si>
    <r>
      <rPr>
        <sz val="11"/>
        <color theme="1"/>
        <rFont val="Calibri"/>
        <family val="2"/>
        <charset val="1"/>
      </rPr>
      <t>BoE 256.333 xlsx</t>
    </r>
    <r>
      <rPr>
        <sz val="11"/>
        <color theme="1"/>
        <rFont val="Noto Sans CJK SC"/>
        <family val="2"/>
      </rPr>
      <t>核验</t>
    </r>
  </si>
  <si>
    <t>Table B</t>
  </si>
  <si>
    <r>
      <rPr>
        <sz val="11"/>
        <color theme="1"/>
        <rFont val="Calibri"/>
        <family val="2"/>
        <charset val="1"/>
      </rPr>
      <t>StatCan 827701 csv</t>
    </r>
    <r>
      <rPr>
        <sz val="11"/>
        <color theme="1"/>
        <rFont val="Noto Sans CJK SC"/>
        <family val="2"/>
      </rPr>
      <t>核验</t>
    </r>
  </si>
  <si>
    <t>2026-05 raw non-mortgage</t>
  </si>
  <si>
    <r>
      <rPr>
        <sz val="11"/>
        <color theme="1"/>
        <rFont val="Calibri"/>
        <family val="2"/>
        <charset val="1"/>
      </rPr>
      <t>G.20 Consumer 924</t>
    </r>
    <r>
      <rPr>
        <sz val="11"/>
        <color theme="1"/>
        <rFont val="Noto Sans CJK SC"/>
        <family val="2"/>
      </rPr>
      <t>核验</t>
    </r>
  </si>
  <si>
    <t>覆盖</t>
  </si>
  <si>
    <t>VERIFIED=41 PENDING=43 detail=49 new_rows=15</t>
  </si>
  <si>
    <t>机构数量 VERIFIED=46 PENDING=38</t>
  </si>
  <si>
    <r>
      <rPr>
        <sz val="11"/>
        <color theme="1"/>
        <rFont val="Calibri"/>
        <family val="2"/>
        <charset val="1"/>
      </rPr>
      <t>official</t>
    </r>
    <r>
      <rPr>
        <sz val="11"/>
        <color theme="1"/>
        <rFont val="Noto Sans CJK SC"/>
        <family val="2"/>
      </rPr>
      <t>行</t>
    </r>
    <r>
      <rPr>
        <sz val="11"/>
        <color theme="1"/>
        <rFont val="Calibri"/>
        <family val="2"/>
        <charset val="1"/>
      </rPr>
      <t>53 semi7</t>
    </r>
  </si>
  <si>
    <t>机构数量每条有URL+摘录</t>
  </si>
  <si>
    <t>bad=0</t>
  </si>
  <si>
    <r>
      <rPr>
        <sz val="11"/>
        <color theme="1"/>
        <rFont val="Calibri"/>
        <family val="2"/>
        <charset val="1"/>
      </rPr>
      <t>local-language research</t>
    </r>
    <r>
      <rPr>
        <sz val="11"/>
        <color theme="1"/>
        <rFont val="Noto Sans CJK SC"/>
        <family val="2"/>
      </rPr>
      <t xml:space="preserve">后机构 </t>
    </r>
    <r>
      <rPr>
        <sz val="11"/>
        <color theme="1"/>
        <rFont val="Calibri"/>
        <family val="2"/>
        <charset val="1"/>
      </rPr>
      <t>VERIFIED=79 PENDING=5</t>
    </r>
  </si>
  <si>
    <t>detail_rows=101</t>
  </si>
  <si>
    <t>阿拉伯语补检后机构 VERIFIED=81 PENDING=3</t>
  </si>
  <si>
    <r>
      <rPr>
        <sz val="11"/>
        <color theme="1"/>
        <rFont val="Calibri"/>
        <family val="2"/>
        <charset val="1"/>
      </rPr>
      <t>IQ</t>
    </r>
    <r>
      <rPr>
        <sz val="11"/>
        <color theme="1"/>
        <rFont val="Noto Sans CJK SC"/>
        <family val="2"/>
      </rPr>
      <t>官网名录</t>
    </r>
    <r>
      <rPr>
        <sz val="11"/>
        <color theme="1"/>
        <rFont val="Calibri"/>
        <family val="2"/>
        <charset val="1"/>
      </rPr>
      <t>+QA OBG</t>
    </r>
  </si>
  <si>
    <t>放贷总量local-language research VERIFIED=71 PENDING=13</t>
  </si>
  <si>
    <t>new_rows≈34</t>
  </si>
  <si>
    <t>放贷总量二轮本地语 VERIFIED=79 PENDING=5</t>
  </si>
  <si>
    <t>DZ,SD,LB,IQ,IR</t>
  </si>
  <si>
    <t>2026-08-11 independent verification (col AC)</t>
  </si>
  <si>
    <t>DONE</t>
  </si>
  <si>
    <t>5 USD conversions corrected (YE,RU,TR,TJ,LY), CA count 12→10, BH inst date; scope &amp; source flags in Country_Master_Loan!AC</t>
  </si>
  <si>
    <t>2026-08-11 R2 follow-up verification</t>
  </si>
  <si>
    <t>NG 829→785, EG 28→48, US 13000→5346(est), MG loan re-sourced to IMF FAS; ZW verified OK; CA/SG/GB/MU/MY loan values corroborated; PH count &amp; BW row still open</t>
  </si>
  <si>
    <t>2026-08-11 current-FX column</t>
  </si>
  <si>
    <t>Col AD added: single-date FX (2026-08-10 rates). Total 6,609 usd_bn vs 6,547 at as-of FX</t>
  </si>
  <si>
    <t>2026-08-11 decisions applied</t>
  </si>
  <si>
    <t>TM official peg confirmed; BW count→407 (NBFIRA T2.1); PH loan→BSP official excl-RREL 2,781.5bn PHP (Jun-2026)</t>
  </si>
  <si>
    <t>2026-08-11 ex-mortgage sweep</t>
  </si>
  <si>
    <t>KR 687.2tn, TW 2,031bn, PK ~799bn (derived), PS 3.11bn, BH 3.01bn switched to ex-housing; TR &amp; QA confirmed already ex-housing; OM includes housing, no split available</t>
  </si>
  <si>
    <t>2026-08-11 ex-mortgage sweep reverted</t>
  </si>
  <si>
    <t>PENDING TEAM DECISION</t>
  </si>
  <si>
    <t>PH/KR/TW/PK/BH/PS all restored to original figures; ex-mortgage alternatives documented in-row, ready to re-apply</t>
  </si>
  <si>
    <t>2026-08-11 senior decision applied</t>
  </si>
  <si>
    <t>Mixed bank+NBFC accepted where no pure NBFC; mortgages deducted with gross (AE) − mortgage (AF) = net (G, live formula) for PH/KR/TW/PK/BH/PS; OM flagged (no split available)</t>
  </si>
  <si>
    <t>2026-08-11 approved refinements</t>
  </si>
  <si>
    <t>PH mortgage exact 1,188bn (net 2,349bn); PK same-series 998−220=778bn; BW loan replaced with BoB survey 8.5bn (Dec-2024); PH count relabelled AMLC-active</t>
  </si>
  <si>
    <t>2026-08-12 market-profile block (phase 1)</t>
  </si>
  <si>
    <t>DONE (26 markets)</t>
  </si>
  <si>
    <t>Borrowers/ticket/DPD researched for top-26; true DPD30 only CO &amp; KR-banks; gaps: SA/ES/SG/HK/AE borrower counts; rest of countries pending</t>
  </si>
  <si>
    <t>2026-08-12 Mauritius verified by user</t>
  </si>
  <si>
    <t>BOM Table 19 inspected directly: 59,189M confirmed; housing 19,379M discovered &amp; deducted → net 39,810M MUR ($0.88bn)</t>
  </si>
  <si>
    <t>2026-08-12 direct-inspection round (user-supplied files)</t>
  </si>
  <si>
    <t>MY confirmed exact; TW house-repair 30,878M exact &amp; deducted (net 1,999,776M); PH QUBS confirmed — housing 33.3% same-doc (net 2,359.2bn), NPL 5.4% Sep-25</t>
  </si>
  <si>
    <t>2026-08-12 market-profile phase 2 (tail sweep)</t>
  </si>
  <si>
    <t>42 more countries researched; every non-pending row now has borrowers/DPD data or an explicit not-published note</t>
  </si>
  <si>
    <t>2026-08-12 proxies added (yellow)</t>
  </si>
  <si>
    <t>Borrower proxies: 3 Tier-1 (BCEAO), 13 Tier-3 (Findex), 5 Tier-2 (analog); DPD peer-medians 9; PK reverted to gross 998bn &amp; given real SBP DPD 4.8%</t>
  </si>
  <si>
    <t>2026-08-12 published tickets entered</t>
  </si>
  <si>
    <t>20 published ticket sizes entered as values (basis in hover notes); TW borrowers backed out (2.79m)</t>
  </si>
  <si>
    <t>2026-08-12 full coverage</t>
  </si>
  <si>
    <t>All 79 data rows now carry borrowers, ticket and delinquency; confidence graded A/C/D in col AQ</t>
  </si>
  <si>
    <t>#</t>
  </si>
  <si>
    <t>date</t>
  </si>
  <si>
    <t>sheet</t>
  </si>
  <si>
    <t>cell</t>
  </si>
  <si>
    <t>field</t>
  </si>
  <si>
    <t>old_value</t>
  </si>
  <si>
    <t>new_value</t>
  </si>
  <si>
    <t>reason / evidence</t>
  </si>
  <si>
    <t>2026-08-11</t>
  </si>
  <si>
    <t>Country_Master_Loan</t>
  </si>
  <si>
    <t>I49</t>
  </si>
  <si>
    <t>FX 250 -&gt; 2,212.70 YER/USD (Jul-2025 parallel avg, published in the row's own cited CBY-Aden report; YER 2,094.5bn also confirmed verbatim there). ~9x overstatement fixed.</t>
  </si>
  <si>
    <t>https://english.cby-ye.com/files/68ef3fd727694.pdf (CBY-Aden monthly report: rate 2,212.70 AND the YER 2,094.5bn figure)</t>
  </si>
  <si>
    <t>I85</t>
  </si>
  <si>
    <t>FX 90 -&gt; 77.52 RUB/USD at as-of 2026-07-01 (exchange-rates.org history). Was ~16% understated.</t>
  </si>
  <si>
    <t>https://www.exchange-rates.org/exchange-rate-history/rub-usd-2026</t>
  </si>
  <si>
    <t>I48</t>
  </si>
  <si>
    <t>FX 40 -&gt; 45.19 TRY/USD at as-of 2026-04-29 (exchange-rates.org history). Was ~13% overstated.</t>
  </si>
  <si>
    <t>https://www.exchange-rates.org/exchange-rate-history/try-usd-2026</t>
  </si>
  <si>
    <t>I25</t>
  </si>
  <si>
    <t>FX 10.9 -&gt; 9.2 TJS/USD (somoni appreciation; XE mid-market 9.22, Aug-2026; NBT /en/ page confirms TJS 26.1bn). Was ~16% understated.</t>
  </si>
  <si>
    <t>https://www.xe.com/currencyconverter/ (USD/TJS 9.22) ; loan figure: https://nbt.tj/en/news/618354/</t>
  </si>
  <si>
    <t>I35</t>
  </si>
  <si>
    <t>FX 4.80 -&gt; 5.5677 LYD/USD (CBL official rate after Apr-2025 devaluation; official rate ~6.36 by Aug-2026, so this is a conservative floor). LYD 17,108.0m confirmed verbatim in cited CBL report. Was ~14% overstated.</t>
  </si>
  <si>
    <t>rate: https://cbl.gov.ly/en/currency-exchange-rates/ + https://libyaobserver.ly/economy/central-bank-libya-devalues-dinar-133 ; loan figure: https://cbl.gov.ly/en/wp-content/uploads/sites/4/2026/04/Main_Financial_Data_and_Indicators_of_the_Libyan_Banks_2025.pdf</t>
  </si>
  <si>
    <t>X72</t>
  </si>
  <si>
    <t>Live OSFI 'who we regulate' register (Aug-2026): 10 entries typed 'Loan Companies', 2 in liquidation (8 active).</t>
  </si>
  <si>
    <t>Z39</t>
  </si>
  <si>
    <t>Cited CBB fact sheet is headed April-2024; the financing-companies count (7) inside it is itself dated Dec-2022.</t>
  </si>
  <si>
    <t>Loan_Book_Detail</t>
  </si>
  <si>
    <t>J27/J48/J76/J87/J93</t>
  </si>
  <si>
    <t>TR/RU/TJ/LY/YE</t>
  </si>
  <si>
    <t>(as rows 1-5 old)</t>
  </si>
  <si>
    <t>(as rows 1-5 new)</t>
  </si>
  <si>
    <t>Mirror of changes 1-5 so sheets stay reconciled; qc_notes updated on each row.</t>
  </si>
  <si>
    <t>(mirrors rows 1-7)</t>
  </si>
  <si>
    <t>Country_Master_Institutions + Institution_Count_Detail</t>
  </si>
  <si>
    <t>F72/G39 + F45/G43</t>
  </si>
  <si>
    <t>Canada/Bahrain</t>
  </si>
  <si>
    <t>count / as_of</t>
  </si>
  <si>
    <t>(as rows 6-7 old)</t>
  </si>
  <si>
    <t>(as rows 6-7 new)</t>
  </si>
  <si>
    <t>Mirror of changes 6-7; notes appended on each row.</t>
  </si>
  <si>
    <t>(mirrors rows 6-7)</t>
  </si>
  <si>
    <t>2026-08-11 R2</t>
  </si>
  <si>
    <t>X19</t>
  </si>
  <si>
    <t>CBN revoked 46 MFB licences effective 01-Jul-2026; remaining total 785 (CBN-attributed press; IMF FAS 813 end-2024 corroborates base). as_of→2026-07-01; source URL swapped from ranked.ng.</t>
  </si>
  <si>
    <t>https://leadership.ng/cbns-revocation-of-46-licences-cuts-microfinance-banks-to-785/ ; CBN notice: https://www.cbn.gov.ng/Out/2026/CCD/CBN%20Revokes%20Licenses%20of%2046%20Micofinance%20Banks.pdf ; baseline: https://fred.stlouisfed.org/series/NGAFCIODMFNUM</t>
  </si>
  <si>
    <t>X31</t>
  </si>
  <si>
    <t>48 active FRA consumer-finance licences at end-2025 per three independent FRA-citing sources; nothing supports 28. as_of→2025-12; source URL updated.</t>
  </si>
  <si>
    <t>https://english.ahram.org.eg/News/569636.aspx ; https://enterpriseam.com/egypt/2026/05/25/whats-behind-egypts-consumer-finance-crackdown/</t>
  </si>
  <si>
    <t>X71</t>
  </si>
  <si>
    <t>13,000 was the Fed census mailing universe. 5,346 = Fed 2010 Census estimated universe of active finance companies (FEDS 2013-13, Table 7) — only published figure; LABEL AS ESTIMATE. as_of→2010.</t>
  </si>
  <si>
    <t>https://www.federalreserve.gov/pubs/feds/2013/201313/201313pap.pdf (Table 7)</t>
  </si>
  <si>
    <t>G65</t>
  </si>
  <si>
    <t>Adopted IMF FAS 'outstanding loans at deposit-taking MFIs' 2023 (FRED MDGFCSODMFXDC, exact) replacing dead news-blog figure; quality→official; metric relabelled.</t>
  </si>
  <si>
    <t>I65</t>
  </si>
  <si>
    <t>Follows G65 change; same 4,500 MGA/USD conversion.</t>
  </si>
  <si>
    <t>mirror sheets</t>
  </si>
  <si>
    <t>CMI/ICD (NG,EG,US) + LBD row 91 (MG)</t>
  </si>
  <si>
    <t>—</t>
  </si>
  <si>
    <t>counts / loan value</t>
  </si>
  <si>
    <t>(as rows 10-14 old)</t>
  </si>
  <si>
    <t>(as rows 10-14 new)</t>
  </si>
  <si>
    <t>Mirrors so all sheets stay reconciled; notes appended on each row.</t>
  </si>
  <si>
    <t>(mirrors rows 10-14)</t>
  </si>
  <si>
    <t>(no change — verification upgrades)</t>
  </si>
  <si>
    <t>AC col, rows 6,7,26,61,62,64,72,73,84</t>
  </si>
  <si>
    <t>ZW,CA,SG,GB,MU,MY,PH,BW,TM</t>
  </si>
  <si>
    <t>ZW ZiG7.19bn now VERIFIED in cited RBZ report; CA loan exact-match confirmed; SG confirmed by derivation; GB corroborated arithmetically; MU/MY series confirmed to exist; PH count still unresolved (manual tally needed); BW flagged as likely garbled total-assets figure; TM parallel-rate flag refreshed (~19.2 TMT/USD).</t>
  </si>
  <si>
    <t>(see AC comments per row)</t>
  </si>
  <si>
    <t>col AD (new)</t>
  </si>
  <si>
    <t>all</t>
  </si>
  <si>
    <t>(new column)</t>
  </si>
  <si>
    <t>Added per Kimderson: every row's outstanding_local converted at ONE current FX date (ER-API 10-Aug-2026; YER = Aden parallel 1,535; TMT = official peg; ZiG 26.60). Column I (as-of-date FX) kept unchanged so both conventions are available — use ONE consistently on the TAM map.</t>
  </si>
  <si>
    <t>https://open.er-api.com/v6/latest/USD ; YER: https://en.almahriah.net/economy/exchange-rates-usd-sar-vs-yer-aug-1-2026</t>
  </si>
  <si>
    <t>row 26 (decision, no value change)</t>
  </si>
  <si>
    <t>FX basis</t>
  </si>
  <si>
    <t>official peg 3.5 kept</t>
  </si>
  <si>
    <t>Team decision (Kimderson): use the official peg for Turkmenistan in both usd columns. Street-rate alternative (~19 TMT/USD → ~$1.75bn) noted in AC for reference only.</t>
  </si>
  <si>
    <t>https://www.hronikatm.com/2026/07/the-dollar-exchange-rate-has-fallen-on-turkmenistans-black-market/ (reference rate)</t>
  </si>
  <si>
    <t>G7, I7</t>
  </si>
  <si>
    <t>outstanding_local / usd_bn</t>
  </si>
  <si>
    <t>3,537,000,000,000 / 60.98</t>
  </si>
  <si>
    <t>2,781,511,000,000 / 47.96</t>
  </si>
  <si>
    <t>Team decision (Kimderson): use consumer loans EXCLUDING residential real estate. Adopted BSP's official excl-RREL series (Jun-2026), which Loan_Book_Detail row 49 already carried and recommended — no estimate needed. Metric, date, and source updated; col AD updated; LBD rows annotated.</t>
  </si>
  <si>
    <t>https://www.bsp.gov.ph/Statistics/Financial%20System%20Accounts/tab24b_pbs.aspx (BSP table 24b: For Consumer Loans = 2,781,511 [PHP millions], excl. residential real estate, Jun-2026)</t>
  </si>
  <si>
    <t>G10, I10</t>
  </si>
  <si>
    <t>Korea</t>
  </si>
  <si>
    <t>1,865,800,000,000,000 / 1352.03</t>
  </si>
  <si>
    <t>687,200,000,000,000 / 497.97</t>
  </si>
  <si>
    <t>Ex-mortgage switch (team decision): BOK 'other loans' 687.2tn = household loans 1,865.8tn minus housing-secured 1,178.6tn (end-Q1-2026, preliminary; components sum exactly).</t>
  </si>
  <si>
    <t>https://www.newspim.com/news/view/20260519000509 (BOK household credit release 2026-05-19: loans 1,865.8 = mortgage 1,178.6 + other 687.2)</t>
  </si>
  <si>
    <t>G11, I11</t>
  </si>
  <si>
    <t>13,843,306,000,000 / 425.95</t>
  </si>
  <si>
    <t>2,030,654,000,000 / 62.48</t>
  </si>
  <si>
    <t>Ex-mortgage switch (team decision): CBC consumer-loans subtotal minus exact house-purchase loans (Jun-2026). House-repair (~31.1bn, ~1.5%) still included — needs manual strip from CBC xls.</t>
  </si>
  <si>
    <t>https://www.cbc.gov.tw/tw/cp-302-192631-480c5-1.html (CBC Jun-2026: house-purchase 11,812,652M); https://ec.ltn.com.tw/article/breakingnews/5516697</t>
  </si>
  <si>
    <t>G13, I13</t>
  </si>
  <si>
    <t>1,024,000,000,000 / 3.69</t>
  </si>
  <si>
    <t>799,332,485,981 / 2.88</t>
  </si>
  <si>
    <t>Ex-mortgage switch (team decision): house-building loans (~21.94% of consumer financing, SBP Apr-2026) stripped. DERIVED — confirm exact Dec-2025 split from SBP's monthly table (bot-blocked).</t>
  </si>
  <si>
    <t>https://bloompakistan.com/auto-loans-drive-pakistan-consumer-financing-to-rs-1-07-trillion/ (SBP Apr-2026: house building 234.76bn of 1,070bn total); exact split: https://www.sbp.org.pk/ecodata/creditloans.pdf</t>
  </si>
  <si>
    <t>G47, I47</t>
  </si>
  <si>
    <t>4,400,000,000 / 4.40</t>
  </si>
  <si>
    <t>3,110,000,000 / 3.11</t>
  </si>
  <si>
    <t>Ex-mortgage switch (team decision): PMA consumer credit excluding real estate (Dec-2025); the old total included mortgage credit (~1.08bn).</t>
  </si>
  <si>
    <t>https://www.theglobaleconomy.com/Palestine/consumer_credit/ (PMA consumer credit excl. real estate: USD 3.11bn, Dec-2025; mortgage credit separate: 1.08bn)</t>
  </si>
  <si>
    <t>G39, I39</t>
  </si>
  <si>
    <t>6,100,000,000 / 16.18</t>
  </si>
  <si>
    <t>3,009,600,000 / 7.98</t>
  </si>
  <si>
    <t>Ex-mortgage switch (team decision): CBB FSR Jun-2025 shows 50.7% of personal loans are property-mortgage-secured (3,093.9M); remainder 3,009.6M adopted. Derived from the official breakdown (CBB publishes no named ex-mortgage series).</t>
  </si>
  <si>
    <t>https://www.cbb.gov.bh/wp-content/uploads/2025/11/Financial-Stability-Report-Sep-2025.pdf (Jun-2025 personal loans 6,103.5M incl. secured-by-property-mortgage 3,093.9M)</t>
  </si>
  <si>
    <t>(no change — housing checks)</t>
  </si>
  <si>
    <t>rows 40,42,48</t>
  </si>
  <si>
    <t>Qatar/Oman/Türkiye</t>
  </si>
  <si>
    <t>Housing-content checks: Türkiye's figure already matches BRSA's ex-housing personal-loans series (housing-inclusive total ~3,188bn); Qatar's series excludes real estate (tracked separately by QCB); Oman INCLUDES housing but no official split exists — noted in AC.</t>
  </si>
  <si>
    <t>https://www.ekonomigazetesi.com/haber/tuketici-kredileri-347-milyar-lira-artti-78339 ; https://www.gulf-times.com/article/729908/business/qatar-commercial-banks-assets-rise-33-to-qr22tn-in-june-qcb ; https://timesofoman.com/article/138794-personal-loans-disbursals-reach-a-new-high-in-oman</t>
  </si>
  <si>
    <t>rows 10,11,13,39(G,I),47</t>
  </si>
  <si>
    <t>KR,TW,PK,BH,PS</t>
  </si>
  <si>
    <t>loan values</t>
  </si>
  <si>
    <t>(ex-mortgage values, see entries 19-23)</t>
  </si>
  <si>
    <t>(original figures restored)</t>
  </si>
  <si>
    <t>REVERTED the ex-mortgage sweep pending team confirmation on whether mortgages are inside the TAM definition. The researched ex-mortgage alternatives stay documented in each row's hover comment and AC — one message re-applies them. Bahrain's Z39 date fix and the Philippines excl-RREL switch (separately approved) remain in place. Totals back to $6,534bn (as-of FX) / $6,597bn (current FX).</t>
  </si>
  <si>
    <t>(see entries 19-23 for the alternatives and sources)</t>
  </si>
  <si>
    <t>loan value</t>
  </si>
  <si>
    <t>3,537,000,000,000 / 60.98 (original restored)</t>
  </si>
  <si>
    <t>REVERTED the excl-RREL switch too, so all six mortgage-related rows (PH, KR, TW, PK, BH, PS) now show original figures pending one team confirmation on whether mortgages are inside the TAM. BSP's excl-RREL alternative stays documented in the row. Totals back to $6,547bn (as-of FX).</t>
  </si>
  <si>
    <t>G7(=AE-AF), I7, AE7, AF7</t>
  </si>
  <si>
    <t>outstanding: mortgage deducted</t>
  </si>
  <si>
    <t>net 2,458,215,000,000 / 42.38</t>
  </si>
  <si>
    <t>Senior decision: deduct mortgage, show working. Gross 3,537,000,000,000 (AE) − mortgage 1,078,785,000,000 (AF) = net, as a live formula in G. mortgage DERIVED: 30.5% RRE share (BSP, Jun-2025) x Q3-2025 total. Official excl-RREL series shows 2,781.5bn at Jun-2026 (newer) — team may prefer it. Confirm exact Q3-2025 RRE from BSP QUBS PDF.</t>
  </si>
  <si>
    <t>gross: https://www.bsp.gov.ph/Media_And_Research/Publications/QUBS-2025-Q3.pdf ; RRE share: https://www.philstar.com/business/2025/11/08/2485531/banks-ramp-consumer-lending-strong-demand ; official excl-RREL alt: https://www.bsp.gov.ph/Statistics/Financial%20System%20Accounts/tab24b_pbs.aspx</t>
  </si>
  <si>
    <t>G10(=AE-AF), I10, AE10, AF10</t>
  </si>
  <si>
    <t>net 687,200,000,000,000 / 497.97</t>
  </si>
  <si>
    <t>Senior decision: deduct mortgage, show working. Gross 1,865,800,000,000,000 (AE) − mortgage 1,178,600,000,000,000 (AF) = net, as a live formula in G. exact BOK split (end-Q1-2026, preliminary): loans 1,865.8tn = mortgage 1,178.6tn + other 687.2tn.</t>
  </si>
  <si>
    <t>https://www.newspim.com/news/view/20260519000509 (BOK household credit release 2026-05-19)</t>
  </si>
  <si>
    <t>G11(=AE-AF), I11, AE11, AF11</t>
  </si>
  <si>
    <t>net 2,030,654,000,000 / 62.48</t>
  </si>
  <si>
    <t>Senior decision: deduct mortgage, show working. Gross 13,843,306,000,000 (AE) − mortgage 11,812,652,000,000 (AF) = net, as a live formula in G. exact CBC house-purchase figure (Jun-2026). House-repair loans (~31bn TWD, ~1.5% of net) still included — strip from CBC xls manually if needed.</t>
  </si>
  <si>
    <t>https://www.cbc.gov.tw/tw/cp-302-192631-480c5-1.html ; https://ec.ltn.com.tw/article/breakingnews/5516697</t>
  </si>
  <si>
    <t>G13(=AE-AF), I13, AE13, AF13</t>
  </si>
  <si>
    <t>net 799,336,000,000 / 2.88</t>
  </si>
  <si>
    <t>Senior decision: deduct mortgage, show working. Gross 1,024,000,000,000 (AE) − mortgage 224,664,000,000 (AF) = net, as a live formula in G. mortgage DERIVED: house-building share 21.94% (SBP, Apr-2026) applied to Dec-2025 total. Confirm exact split from SBP creditloans.pdf.</t>
  </si>
  <si>
    <t>total: SBP; share: https://bloompakistan.com/auto-loans-drive-pakistan-consumer-financing-to-rs-1-07-trillion/ ; exact split: https://www.sbp.org.pk/ecodata/creditloans.pdf</t>
  </si>
  <si>
    <t>G39(=AE-AF), I39, AE39, AF39</t>
  </si>
  <si>
    <t>net 3,009,600,000 / 7.98</t>
  </si>
  <si>
    <t>Senior decision: deduct mortgage, show working. Gross 6,103,500,000 (AE) − mortgage 3,093,900,000 (AF) = net, as a live formula in G. exact CBB FSR breakdown (Jun-2025): personal loans 6,103.5M incl. property-mortgage-secured 3,093.9M.</t>
  </si>
  <si>
    <t>G47(=AE-AF), I47, AE47, AF47</t>
  </si>
  <si>
    <t>net 3,110,000,000 / 3.11</t>
  </si>
  <si>
    <t>Senior decision: deduct mortgage, show working. Gross 4,190,000,000 (AE) − mortgage 1,080,000,000 (AF) = net, as a live formula in G. PMA series (Dec-2025): consumer credit 3.11bn + mortgage credit 1.08bn = 4.19bn household total. (The file's old 4.4bn was the Dec-2024 total.)</t>
  </si>
  <si>
    <t>https://www.theglobaleconomy.com/Palestine/consumer_credit/ ; https://www.theglobaleconomy.com/Palestine/mortgage_credit/</t>
  </si>
  <si>
    <t>col AG (new)</t>
  </si>
  <si>
    <t>Added per Kimderson: each loan series classified as pure non-bank (40) / pure bank (29) / mixed bank+non-bank (10) / n/a pending (5), based on the series' own definition at the cited source. Color-coded: green/blue/yellow. Also: the temporary policy row added earlier to the Methodology sheet was removed on request.</t>
  </si>
  <si>
    <t>(classification basis: each row's cited source; see AC comments)</t>
  </si>
  <si>
    <t>AF7 (G7 recalcs), I7</t>
  </si>
  <si>
    <t>mortgage portion</t>
  </si>
  <si>
    <t xml:space="preserve"> 1,078,785,000,000 (derived)</t>
  </si>
  <si>
    <t>1,188,000,000,000 (exact)</t>
  </si>
  <si>
    <t>Approved by Kimderson: exact BSP RRE at end-Sep-2025 replaces the derived figure (earlier 30.5% share was the credit-card share swapped in press; RRE ~33.9%). Net now 2,349.0bn PHP / $40.50bn. Count description relabelled to 'AMLC registration-active lending &amp; financing companies' (number unchanged, still needs manual tally).</t>
  </si>
  <si>
    <t>RRE: https://www.bworldonline.com/top-stories/2025/12/18/719639/banks-real-estate-exposure-slips/ + https://www.philstar.com/business/2025/12/18/2495110/banks-ease-exposure-real-estate (BSP RE-exposure report, Sep-2025); gross: BSP QUBS Q3-2025</t>
  </si>
  <si>
    <t>AE13, AF13 (G13 recalcs), I13</t>
  </si>
  <si>
    <t>gross &amp; mortgage</t>
  </si>
  <si>
    <t>1,024,000,000,000 / 224,664,000,000 (derived)</t>
  </si>
  <si>
    <t>998,000,000,000 / 220,000,000,000 (exact)</t>
  </si>
  <si>
    <t>Approved by Kimderson: same-month SBP Dec-2025 figures. The file's 1,024bn total is inconsistent with the SBP monthly series (Oct 980→Nov 987→Dec 998→Apr 1,070) — likely a ~Feb-2026 value mislabelled. Net 778bn PKR / $2.80bn.</t>
  </si>
  <si>
    <t>https://www.techjuice.pk/bank-car-financing-surges-35-in-december-2025/ (SBP Dec-2025: total 998bn, house building 220bn); cross-checks: https://mettisglobal.news/Auto-financing-in-Pakistan-rises-to-Rs318bn-in-November-57339</t>
  </si>
  <si>
    <t>G62, I62</t>
  </si>
  <si>
    <t>8,761,000,000 / 0.649</t>
  </si>
  <si>
    <t>8,500,000,000 / 0.608</t>
  </si>
  <si>
    <t>Approved by Kimderson: old figure was NBFIRA's whole-sector TOTAL ASSETS (8.731bn) garbled, not a loan book. Replaced with BoB Household Indebtedness Survey: P8.5bn micro-lender loans to households, Dec-2024 (P6.4bn Dec-2023). Metric relabelled; as-of updated; FX 13.97 BWP/USD (end-2024).</t>
  </si>
  <si>
    <t>https://www.bankofbotswana.bw/sites/default/files/publications/Financial%20Stability%20Report%20October%202025-.pdf (BoB Household Indebtedness Survey: P8.5bn micro-lender loans, Dec-2024); corroborated: https://dailynews.gov.bw/news-detail/88676</t>
  </si>
  <si>
    <t>2026-08-12</t>
  </si>
  <si>
    <t>cols AH-AP (new)</t>
  </si>
  <si>
    <t>26 priority markets</t>
  </si>
  <si>
    <t>market-profile block</t>
  </si>
  <si>
    <t>(new columns)</t>
  </si>
  <si>
    <t>Added per assigner request: borrowers_count (+basis/as-of/source), avg_ticket_size_local (live formula = outstanding ÷ borrowers, only where borrower scope matches the loan series), dpd_ratio (+basis/as-of/source). TRUE DPD30+ exists only for Colombia and Korea-banks; all other ratios are NPL90/DPD60/TWP90 fallbacks — basis stated per row. Remaining ~58 countries pending research.</t>
  </si>
  <si>
    <t>(per-row URLs in cols AK and AP)</t>
  </si>
  <si>
    <t>col AN (dpd_basis)</t>
  </si>
  <si>
    <t>26 filled markets</t>
  </si>
  <si>
    <t>standardized DPD codes</t>
  </si>
  <si>
    <t>free-text basis</t>
  </si>
  <si>
    <t>controlled code + detail</t>
  </si>
  <si>
    <t>dpd_basis restructured to a controlled vocabulary: DPD30+ / DPD60+ / DPD90+ (NPL) / DEFAULT-FLOW / PROXY / N/A, so the column is filterable and rows are only compared within the same code. Taxonomy legend added as hover comment on the dpd_ratio header and in README. No ratio values changed.</t>
  </si>
  <si>
    <t>(legend: hover comment on dpd_ratio header)</t>
  </si>
  <si>
    <t>G64(=AE-AF), I64, AE64, AF64</t>
  </si>
  <si>
    <t>outstanding: housing deducted</t>
  </si>
  <si>
    <t>59,189,000,000 / 1.315</t>
  </si>
  <si>
    <t>net 39,810,000,000 / 0.885</t>
  </si>
  <si>
    <t>VERIFIED BY DIRECT INSPECTION (Kimderson, BOM Monthly Statistical Bulletin Dec-2025, Table 19): households 59,189M confirmed exactly; table reveals housing component 19,379M (~33%) — deducted per senior's mortgage policy, working shown in AE/AF. Mauritius is now the 7th gross−mortgage=net row.</t>
  </si>
  <si>
    <t>BOM MSB Dec-2025 Table 19 — https://www.bom.mu/publications-and-statistics/publications/monthly-statistical-bulletin</t>
  </si>
  <si>
    <t>(verified, no change)</t>
  </si>
  <si>
    <t>120,580,070,000</t>
  </si>
  <si>
    <t>(unchanged — verified)</t>
  </si>
  <si>
    <t>VERIFIED BY DIRECT INSPECTION: Kimderson opened BNM Table 1.19.6 — Personal Uses Jun-2026 = RM 120,580.07M, exact match. 'Manual eyeball' flag closed.</t>
  </si>
  <si>
    <t>BNM Table 1.19.6 xlsx (user-supplied)</t>
  </si>
  <si>
    <t>AF11 (G11 recalcs), I11</t>
  </si>
  <si>
    <t>11,812,652,000,000</t>
  </si>
  <si>
    <t>11,843,530,000,000</t>
  </si>
  <si>
    <t>VERIFIED BY DIRECT INSPECTION: CBC Jun-2026 xls — subtotal &amp; house-purchase match; exact house-repair 30,878M added to the housing deduction. Net 1,999,776M TWD / $61.53bn. Taiwan housing-residue open item CLOSED.</t>
  </si>
  <si>
    <t>CBC 1150724 xls (user-supplied)</t>
  </si>
  <si>
    <t>AF7 (G7 recalcs), I7, AM7</t>
  </si>
  <si>
    <t>mortgage portion &amp; dpd</t>
  </si>
  <si>
    <t>1,188,000,000,000 / dpd 5.42% Mar-25</t>
  </si>
  <si>
    <t>1,177,800,000,000 / dpd 5.4% Sep-25</t>
  </si>
  <si>
    <t>VERIFIED BY DIRECT INSPECTION: BSP QUBS Q3-2025 — total ₱3,537.0bn confirmed; housing share 33.3% from the same document → mortgage 1,177.8bn, net 2,359.2bn ($40.68bn). DPD updated to QUBS's own Sep-2025 consumer NPL 5.4% with full segment breakdown.</t>
  </si>
  <si>
    <t>BSP QUBS Q3-2025 PDF (user-supplied)</t>
  </si>
  <si>
    <t>AE13, AF13, X7</t>
  </si>
  <si>
    <t>Pakistan / Philippines</t>
  </si>
  <si>
    <t>proxy marking</t>
  </si>
  <si>
    <t>(cells highlighted yellow)</t>
  </si>
  <si>
    <t>Per Kimderson: primary documents unreachable (SBP purpose table gone from redesigned site; AMLC list unreachable even in a browser). Values kept as best corroborated proxies and cells highlighted YELLOW; README legend updated.</t>
  </si>
  <si>
    <t>cols AH-AP, 42 more countries</t>
  </si>
  <si>
    <t>tail sweep</t>
  </si>
  <si>
    <t>market-profile block phase 2</t>
  </si>
  <si>
    <t>(cells filled)</t>
  </si>
  <si>
    <t>Remaining countries researched via 4 parallel streams. New TRUE 30-day ratios: Tajikistan (NBT 30+ definition), Peru (SBS morosidad, mixed 30/90), Côte d'Ivoire, Uganda, Zimbabwe (PAR30). Regulator borrower counts: Mongolia FRC 2.58m, Zimbabwe RBZ 422k, Namibia NAMFISA 259k, Ethiopia NBE 752k (whose FSR also re-confirms the ETB 48.9bn loan figure exactly), Kazakhstan FCB 8.1m, Argentina BCRA 11.9m. Not-published gaps stated per row in the basis columns. Tickets derived only where scope matches (10 more rows).</t>
  </si>
  <si>
    <t>(per-row URLs in cols AK / AP)</t>
  </si>
  <si>
    <t>G13, I13 (AE13/AF13 cleared)</t>
  </si>
  <si>
    <t>outstanding: subtraction reverted</t>
  </si>
  <si>
    <t>net 778,000,000,000 / 2.80</t>
  </si>
  <si>
    <t>gross 998,000,000,000 / 3.60</t>
  </si>
  <si>
    <t>Per Kimderson: mortgage subtraction removed — the house-building split is only a press-quoted proxy (SBP purpose table no longer published). Gross kept, still incl. house building ~22%; G13 yellow = proxy. PK removed from the gross−mortgage=net rows (now 6: PH, KR, TW, BH, PS, MU).</t>
  </si>
  <si>
    <t>cols AH/AL/AM (yellow cells)</t>
  </si>
  <si>
    <t>~30 countries</t>
  </si>
  <si>
    <t>borrower/ticket/DPD proxies</t>
  </si>
  <si>
    <t>(blanks / not published)</t>
  </si>
  <si>
    <t>(yellow proxy estimates)</t>
  </si>
  <si>
    <t>Proxies added per Kimderson, all yellow: Tier 1 BCEAO family-average borrowers (BJ/BF/ML, validated vs SN/CI, ±2x); Tier 3 Findex borrowed-formally x adults (ES,PT,IT,SG,HK,AE,QA,KW,OM,NG,MY,MZ,PK; waves vary 2011-2024, stated per row); Tier 2 segment-analog tickets (SA,UZ,AO,CD,BW, ±50%); peer-median DPD for 9 previously-N/A rows. Existing scope-mismatch PROXY dpd values also marked yellow. BONUS real data: Pakistan consumer-financing infection ratio 4.8% Jun-2025 (SBP H1CY25 — not a proxy).</t>
  </si>
  <si>
    <t>Findex: api.worldbank.org (source 28, fin22a); BCEAO Sep-2025; SBP H1CY25</t>
  </si>
  <si>
    <t>AI + AN all rows; AH43/AL43/AM43; AM46</t>
  </si>
  <si>
    <t>simplification + missed rows</t>
  </si>
  <si>
    <t>(long notes)</t>
  </si>
  <si>
    <t>(one-line notes)</t>
  </si>
  <si>
    <t>Basis notes in the borrowers and DPD columns rewritten as one-liners per Kimderson. Also fixed two rows missed in the sweep write-up: Jordan (320k Tanmeyah borrowers + ticket ~JOD 805; peer-median DPD proxy) and Israel (BOI credit-card company NPL 1.55%). Remaining blanks are deliberate: 5 no-data countries, Turkmenistan/Yemen (nothing published, no defensible peer), and narrow-series rows where any proxy would misrepresent.</t>
  </si>
  <si>
    <t>col AL (20 rows), AH11</t>
  </si>
  <si>
    <t>20 countries</t>
  </si>
  <si>
    <t>published ticket sizes</t>
  </si>
  <si>
    <t>(blank / formula-only)</t>
  </si>
  <si>
    <t>(published values entered)</t>
  </si>
  <si>
    <t>Per Kimderson: ticket sizes researched directly instead of derived. 20 published averages entered as VALUES with hover notes stating basis: OUTSTANDING-per-borrower (TW, US, CA, TR, AR, CL-median, UG, RW) vs ORIGINATION/new-loan (IN, ZA, GH, MA, EG, KE, CI, SE, IE) vs derived (NL, SN). Yellow = origination-basis, stale, or segment-mismatch; white = Canada only (clean match). Borrowers backed out only for Taiwan (~2.79m, from JCIC basis-A ticket). Not found anywhere: CN, PH, BD, LK, BH, IL, PS, QA, OM, LY, MU, CM, GA, TN-leasing.</t>
  </si>
  <si>
    <t>(per-cell hover comments carry source URLs)</t>
  </si>
  <si>
    <t>AH18, AH20, AH32</t>
  </si>
  <si>
    <t>South Africa, Ghana, Morocco</t>
  </si>
  <si>
    <t>borrowers back-calculated</t>
  </si>
  <si>
    <t>(blank)</t>
  </si>
  <si>
    <t>(=G/AL formula, yellow)</t>
  </si>
  <si>
    <t>Per Kimderson: borrowers derived from the published ticket sizes (borrowers = outstanding ÷ ticket), as live formulas. Applied only where the result passes a plausibility check — Ghana ~6.5m matches the association's '5m+ customers', Morocco ~1.24m matches independent 1.2-1.4m estimates, South Africa ~4.5m rough. NOT applied to India (gives ~700m — ticket covers only small personal loans) or Tajikistan (gives ~3.5m = 60% of adults — 2016 ticket, book includes business lending).</t>
  </si>
  <si>
    <t>(ticket sources in the column AL comments)</t>
  </si>
  <si>
    <t>AH/AL/AM remaining blanks + new col AQ</t>
  </si>
  <si>
    <t>18 countries</t>
  </si>
  <si>
    <t>full coverage estimates</t>
  </si>
  <si>
    <t>(D-grade estimates, grey)</t>
  </si>
  <si>
    <t>Per Kimderson, all remaining blanks filled so no country is empty. Method 1 (ticket = segment median ratio to GDP per capita, benchmarked on the 63 real tickets in this file; borrowers = book ÷ ticket): CN, PH, BD, LK, TN, LY, IL, CM, MU, GA, YE. Method 2 (share of adults who borrow, used where Method 1 implied an impossible borrower count): TM, BH, PS, TJ, IN. Method 5 (ticket = book ÷ existing borrower proxy): QA, OM. Method 4 (regional/analog median DPD): TM, YE. New column AQ grades every row A / C / D so estimates are never mistaken for published data.</t>
  </si>
  <si>
    <t>(assumptions stated per row in cols AI and AN)</t>
  </si>
  <si>
    <t>Notes:</t>
  </si>
  <si>
    <t>Every changed cell also carries an Excel hover comment (author "Verification 2026-08-11") and a row comment in Country_Master_Loan column AC (verification_comments_20260811). Policy: only conversions &gt;10% off a verifiable rate were changed; smaller FX drifts (EUR rows ~6%, IDR/JPY/CNY/SGD 4-7%) are flagged in AC but left unchanged. New usd_bn total: 6,547.3.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</si>
</sst>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charset val="1"/>
    </font>
    <font>
      <b/>
      <sz val="16"/>
      <name val="Calibri"/>
      <charset val="1"/>
    </font>
    <font>
      <sz val="11"/>
      <name val="Calibri"/>
      <charset val="1"/>
    </font>
    <font>
      <b/>
      <sz val="12"/>
      <color rgb="FF1F4E79"/>
      <name val="Calibri"/>
      <charset val="1"/>
    </font>
    <font>
      <b/>
      <sz val="11"/>
      <name val="Calibri"/>
      <charset val="1"/>
    </font>
    <font>
      <b/>
      <sz val="11"/>
      <color rgb="FFFFFFFF"/>
      <name val="Calibri"/>
      <charset val="1"/>
    </font>
    <font>
      <sz val="11"/>
      <color theme="1"/>
      <name val="Noto Sans CJK SC"/>
      <family val="2"/>
      <charset val="1"/>
    </font>
    <font>
      <sz val="11"/>
      <color theme="1"/>
      <name val="Noto Sans CJK SC"/>
      <family val="2"/>
    </font>
    <font>
      <sz val="11"/>
      <color rgb="FF0000FF"/>
      <name val="Calibri"/>
      <charset val="1"/>
    </font>
    <font>
      <sz val="10"/>
      <name val="Arial"/>
      <family val="2"/>
    </font>
    <font>
      <sz val="11"/>
      <color theme="1"/>
      <name val="FreeSans"/>
      <family val="2"/>
    </font>
    <font>
      <sz val="11"/>
      <color theme="1"/>
      <name val="FreeSans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9D9D9"/>
        <bgColor rgb="FFE4DFEC"/>
      </patternFill>
    </fill>
    <fill>
      <patternFill patternType="solid">
        <fgColor rgb="FF1F4E79"/>
        <bgColor rgb="FF003366"/>
      </patternFill>
    </fill>
    <fill>
      <patternFill patternType="solid">
        <fgColor rgb="FFDDEBF7"/>
        <bgColor rgb="FFD9E1F2"/>
      </patternFill>
    </fill>
    <fill>
      <patternFill patternType="solid">
        <fgColor rgb="FFE4DFEC"/>
        <bgColor rgb="FFD9E1F2"/>
      </patternFill>
    </fill>
    <fill>
      <patternFill patternType="solid">
        <fgColor rgb="FFC6EFCE"/>
        <bgColor rgb="FFE2EFDA"/>
      </patternFill>
    </fill>
    <fill>
      <patternFill patternType="solid">
        <fgColor rgb="FFD9E1F2"/>
        <bgColor rgb="FFE4DFE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vertical="top" wrapText="1"/>
    </xf>
    <xf numFmtId="0" fontId="4" fillId="3" borderId="0" xfId="0" applyFont="1" applyFill="1"/>
    <xf numFmtId="0" fontId="4" fillId="7" borderId="0" xfId="0" applyFont="1" applyFill="1"/>
    <xf numFmtId="0" fontId="4" fillId="2" borderId="0" xfId="0" applyFont="1" applyFill="1"/>
    <xf numFmtId="0" fontId="4" fillId="4" borderId="0" xfId="0" applyFont="1" applyFill="1"/>
    <xf numFmtId="0" fontId="4" fillId="8" borderId="0" xfId="0" applyFont="1" applyFill="1"/>
    <xf numFmtId="0" fontId="4" fillId="8" borderId="0" xfId="0" applyFont="1" applyFill="1" applyAlignment="1">
      <alignment vertical="top" wrapText="1"/>
    </xf>
    <xf numFmtId="0" fontId="0" fillId="0" borderId="2" xfId="0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0" fillId="9" borderId="2" xfId="0" applyFill="1" applyBorder="1" applyAlignment="1">
      <alignment vertical="top" wrapText="1"/>
    </xf>
    <xf numFmtId="2" fontId="0" fillId="0" borderId="2" xfId="0" applyNumberFormat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2" fillId="2" borderId="0" xfId="0" applyFont="1" applyFill="1"/>
    <xf numFmtId="3" fontId="2" fillId="5" borderId="0" xfId="0" applyNumberFormat="1" applyFont="1" applyFill="1"/>
    <xf numFmtId="0" fontId="2" fillId="5" borderId="0" xfId="0" applyFont="1" applyFill="1" applyAlignment="1">
      <alignment horizontal="center" vertical="top"/>
    </xf>
    <xf numFmtId="3" fontId="2" fillId="0" borderId="0" xfId="0" applyNumberFormat="1" applyFont="1" applyAlignment="1">
      <alignment vertical="top" wrapText="1"/>
    </xf>
    <xf numFmtId="10" fontId="2" fillId="0" borderId="0" xfId="0" applyNumberFormat="1" applyFont="1"/>
    <xf numFmtId="0" fontId="2" fillId="0" borderId="0" xfId="0" applyFont="1" applyAlignment="1">
      <alignment horizontal="center" vertical="top"/>
    </xf>
    <xf numFmtId="3" fontId="2" fillId="0" borderId="0" xfId="0" applyNumberFormat="1" applyFont="1"/>
    <xf numFmtId="0" fontId="2" fillId="10" borderId="0" xfId="0" applyFont="1" applyFill="1"/>
    <xf numFmtId="10" fontId="2" fillId="5" borderId="0" xfId="0" applyNumberFormat="1" applyFont="1" applyFill="1"/>
    <xf numFmtId="0" fontId="0" fillId="5" borderId="2" xfId="0" applyFill="1" applyBorder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8" fillId="0" borderId="0" xfId="0" applyFont="1"/>
    <xf numFmtId="0" fontId="0" fillId="7" borderId="2" xfId="0" applyFill="1" applyBorder="1" applyAlignment="1">
      <alignment vertical="top" wrapText="1"/>
    </xf>
    <xf numFmtId="0" fontId="2" fillId="3" borderId="0" xfId="0" applyFont="1" applyFill="1"/>
    <xf numFmtId="0" fontId="0" fillId="4" borderId="2" xfId="0" applyFill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/>
    </xf>
    <xf numFmtId="0" fontId="4" fillId="0" borderId="0" xfId="0" applyFont="1"/>
    <xf numFmtId="0" fontId="3" fillId="0" borderId="0" xfId="0" applyFont="1" applyAlignment="1">
      <alignment vertical="top"/>
    </xf>
    <xf numFmtId="0" fontId="0" fillId="0" borderId="0" xfId="0" applyAlignment="1"/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E4DFEC"/>
      <rgbColor rgb="FFD9E1F2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B0B0B0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zoomScaleNormal="100" workbookViewId="0">
      <selection activeCell="B26" sqref="B26"/>
    </sheetView>
  </sheetViews>
  <sheetFormatPr defaultColWidth="8.6640625" defaultRowHeight="14.25"/>
  <cols>
    <col min="1" max="1" width="26" customWidth="1"/>
    <col min="2" max="2" width="108" customWidth="1"/>
  </cols>
  <sheetData>
    <row r="1" spans="1:2" ht="24" customHeight="1">
      <c r="A1" s="3" t="s">
        <v>0</v>
      </c>
      <c r="B1" s="3"/>
    </row>
    <row r="2" spans="1:2" ht="18" customHeight="1">
      <c r="A2" s="2" t="s">
        <v>1</v>
      </c>
      <c r="B2" s="2"/>
    </row>
    <row r="4" spans="1:2" ht="15.75">
      <c r="A4" s="52" t="s">
        <v>2</v>
      </c>
      <c r="B4" s="53"/>
    </row>
    <row r="5" spans="1:2" ht="30" customHeight="1">
      <c r="A5" s="5" t="s">
        <v>3</v>
      </c>
      <c r="B5" s="6" t="s">
        <v>4</v>
      </c>
    </row>
    <row r="6" spans="1:2" ht="30" customHeight="1">
      <c r="A6" s="5" t="s">
        <v>5</v>
      </c>
      <c r="B6" s="6" t="s">
        <v>6</v>
      </c>
    </row>
    <row r="7" spans="1:2" ht="30" customHeight="1">
      <c r="A7" s="5" t="s">
        <v>7</v>
      </c>
      <c r="B7" s="6" t="s">
        <v>8</v>
      </c>
    </row>
    <row r="8" spans="1:2" ht="30" customHeight="1">
      <c r="A8" s="5" t="s">
        <v>9</v>
      </c>
      <c r="B8" s="6" t="s">
        <v>10</v>
      </c>
    </row>
    <row r="9" spans="1:2" ht="30" customHeight="1">
      <c r="A9" s="5" t="s">
        <v>11</v>
      </c>
      <c r="B9" s="6" t="s">
        <v>12</v>
      </c>
    </row>
    <row r="10" spans="1:2" ht="30" customHeight="1">
      <c r="A10" s="5" t="s">
        <v>13</v>
      </c>
      <c r="B10" s="6" t="s">
        <v>14</v>
      </c>
    </row>
    <row r="11" spans="1:2" ht="30" customHeight="1">
      <c r="A11" s="5" t="s">
        <v>15</v>
      </c>
      <c r="B11" s="6" t="s">
        <v>16</v>
      </c>
    </row>
    <row r="13" spans="1:2" ht="15.75">
      <c r="A13" s="52" t="s">
        <v>17</v>
      </c>
      <c r="B13" s="53"/>
    </row>
    <row r="14" spans="1:2" ht="15" customHeight="1">
      <c r="A14" s="7" t="s">
        <v>18</v>
      </c>
      <c r="B14" s="8" t="s">
        <v>19</v>
      </c>
    </row>
    <row r="15" spans="1:2" ht="15" customHeight="1">
      <c r="A15" s="9" t="s">
        <v>20</v>
      </c>
      <c r="B15" s="10" t="s">
        <v>21</v>
      </c>
    </row>
    <row r="16" spans="1:2" ht="30" customHeight="1">
      <c r="A16" s="9" t="s">
        <v>22</v>
      </c>
      <c r="B16" s="10" t="s">
        <v>23</v>
      </c>
    </row>
    <row r="17" spans="1:2" ht="30" customHeight="1">
      <c r="A17" s="11" t="s">
        <v>24</v>
      </c>
      <c r="B17" s="12" t="s">
        <v>25</v>
      </c>
    </row>
    <row r="18" spans="1:2" ht="15" customHeight="1">
      <c r="A18" s="5" t="s">
        <v>26</v>
      </c>
      <c r="B18" s="6" t="s">
        <v>27</v>
      </c>
    </row>
    <row r="19" spans="1:2" ht="27.75" customHeight="1">
      <c r="A19" s="13" t="s">
        <v>28</v>
      </c>
      <c r="B19" s="14" t="s">
        <v>29</v>
      </c>
    </row>
    <row r="20" spans="1:2" ht="29.25" customHeight="1"/>
    <row r="21" spans="1:2" ht="15" customHeight="1">
      <c r="A21" s="52" t="s">
        <v>30</v>
      </c>
      <c r="B21" s="53"/>
    </row>
    <row r="22" spans="1:2" ht="30" customHeight="1">
      <c r="A22" s="5" t="s">
        <v>31</v>
      </c>
      <c r="B22" s="6" t="s">
        <v>32</v>
      </c>
    </row>
    <row r="23" spans="1:2" ht="30" customHeight="1">
      <c r="A23" s="5" t="s">
        <v>33</v>
      </c>
      <c r="B23" s="6" t="s">
        <v>34</v>
      </c>
    </row>
    <row r="24" spans="1:2" ht="30" customHeight="1">
      <c r="A24" s="5" t="s">
        <v>35</v>
      </c>
      <c r="B24" s="6" t="s">
        <v>36</v>
      </c>
    </row>
    <row r="25" spans="1:2" ht="15" customHeight="1">
      <c r="A25" s="5" t="s">
        <v>37</v>
      </c>
      <c r="B25" s="6" t="s">
        <v>38</v>
      </c>
    </row>
    <row r="26" spans="1:2" ht="30" customHeight="1">
      <c r="A26" s="5" t="s">
        <v>39</v>
      </c>
      <c r="B26" s="6" t="s">
        <v>40</v>
      </c>
    </row>
    <row r="27" spans="1:2" ht="30" customHeight="1">
      <c r="A27" s="5" t="s">
        <v>41</v>
      </c>
      <c r="B27" s="6" t="s">
        <v>42</v>
      </c>
    </row>
    <row r="28" spans="1:2" ht="30" customHeight="1">
      <c r="A28" s="5" t="s">
        <v>43</v>
      </c>
      <c r="B28" s="6" t="s">
        <v>44</v>
      </c>
    </row>
    <row r="29" spans="1:2" ht="41.25" customHeight="1">
      <c r="A29" s="5" t="s">
        <v>45</v>
      </c>
      <c r="B29" s="6" t="s">
        <v>46</v>
      </c>
    </row>
    <row r="30" spans="1:2" ht="15" customHeight="1"/>
    <row r="31" spans="1:2" ht="15.75">
      <c r="A31" s="4" t="s">
        <v>47</v>
      </c>
    </row>
    <row r="32" spans="1:2" ht="15" customHeight="1">
      <c r="A32" s="5" t="s">
        <v>48</v>
      </c>
      <c r="B32" s="6" t="s">
        <v>49</v>
      </c>
    </row>
    <row r="33" spans="1:2" ht="15" customHeight="1">
      <c r="A33" s="5" t="s">
        <v>50</v>
      </c>
      <c r="B33" s="6" t="s">
        <v>51</v>
      </c>
    </row>
    <row r="34" spans="1:2" ht="15" customHeight="1">
      <c r="A34" s="5" t="s">
        <v>52</v>
      </c>
      <c r="B34" s="6" t="s">
        <v>53</v>
      </c>
    </row>
    <row r="35" spans="1:2" ht="15" customHeight="1"/>
    <row r="36" spans="1:2" ht="15.75">
      <c r="A36" s="4" t="s">
        <v>54</v>
      </c>
    </row>
    <row r="37" spans="1:2" ht="30" customHeight="1">
      <c r="A37" s="5" t="s">
        <v>55</v>
      </c>
      <c r="B37" s="6" t="s">
        <v>56</v>
      </c>
    </row>
    <row r="38" spans="1:2" ht="30" customHeight="1">
      <c r="A38" s="5" t="s">
        <v>57</v>
      </c>
      <c r="B38" s="6" t="s">
        <v>58</v>
      </c>
    </row>
    <row r="39" spans="1:2" ht="15" customHeight="1">
      <c r="A39" s="5" t="s">
        <v>59</v>
      </c>
      <c r="B39" s="6" t="s">
        <v>60</v>
      </c>
    </row>
    <row r="40" spans="1:2" ht="30" customHeight="1">
      <c r="A40" s="5" t="s">
        <v>61</v>
      </c>
      <c r="B40" s="6" t="s">
        <v>62</v>
      </c>
    </row>
    <row r="41" spans="1:2" ht="30" customHeight="1">
      <c r="A41" s="5" t="s">
        <v>63</v>
      </c>
      <c r="B41" s="6" t="s">
        <v>64</v>
      </c>
    </row>
    <row r="42" spans="1:2" ht="27.75" customHeight="1">
      <c r="A42" s="5" t="s">
        <v>65</v>
      </c>
      <c r="B42" s="6" t="s">
        <v>66</v>
      </c>
    </row>
    <row r="43" spans="1:2" ht="27.75" customHeight="1"/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85"/>
  <sheetViews>
    <sheetView tabSelected="1" zoomScale="41" zoomScaleNormal="100" workbookViewId="0">
      <pane xSplit="2" ySplit="1" topLeftCell="AE2" activePane="bottomRight" state="frozen"/>
      <selection activeCell="B26" sqref="B26"/>
      <selection pane="topRight" activeCell="B26" sqref="B26"/>
      <selection pane="bottomLeft" activeCell="B26" sqref="B26"/>
      <selection pane="bottomRight" activeCell="AH34" sqref="AH34"/>
    </sheetView>
  </sheetViews>
  <sheetFormatPr defaultColWidth="8.6640625" defaultRowHeight="14.25"/>
  <cols>
    <col min="1" max="1" width="14" customWidth="1"/>
    <col min="2" max="2" width="18" customWidth="1"/>
    <col min="3" max="4" width="14" customWidth="1"/>
    <col min="5" max="5" width="36" customWidth="1"/>
    <col min="6" max="6" width="40" customWidth="1"/>
    <col min="7" max="11" width="14" customWidth="1"/>
    <col min="12" max="12" width="42" customWidth="1"/>
    <col min="13" max="21" width="14" customWidth="1"/>
    <col min="22" max="22" width="40" customWidth="1"/>
    <col min="23" max="28" width="14" customWidth="1"/>
    <col min="29" max="29" width="70" customWidth="1"/>
    <col min="30" max="30" width="22" customWidth="1"/>
    <col min="31" max="31" width="24" customWidth="1"/>
    <col min="32" max="32" width="22" customWidth="1"/>
    <col min="33" max="33" width="20" customWidth="1"/>
    <col min="34" max="34" width="15" customWidth="1"/>
    <col min="35" max="35" width="12" customWidth="1"/>
    <col min="36" max="36" width="40" customWidth="1"/>
    <col min="37" max="37" width="15" customWidth="1"/>
    <col min="38" max="38" width="40" customWidth="1"/>
    <col min="39" max="39" width="16" customWidth="1"/>
    <col min="40" max="40" width="12" customWidth="1"/>
    <col min="41" max="41" width="10" customWidth="1"/>
    <col min="42" max="42" width="12" customWidth="1"/>
    <col min="43" max="43" width="40" customWidth="1"/>
    <col min="44" max="44" width="15" customWidth="1"/>
    <col min="45" max="45" width="40" customWidth="1"/>
    <col min="46" max="46" width="9" customWidth="1"/>
  </cols>
  <sheetData>
    <row r="1" spans="1:45" ht="36" customHeight="1">
      <c r="A1" s="15" t="s">
        <v>67</v>
      </c>
      <c r="B1" s="15" t="s">
        <v>68</v>
      </c>
      <c r="C1" s="15" t="s">
        <v>69</v>
      </c>
      <c r="D1" s="15" t="s">
        <v>70</v>
      </c>
      <c r="E1" s="15" t="s">
        <v>71</v>
      </c>
      <c r="F1" s="15" t="s">
        <v>72</v>
      </c>
      <c r="G1" s="15" t="s">
        <v>73</v>
      </c>
      <c r="H1" s="15" t="s">
        <v>74</v>
      </c>
      <c r="I1" s="15" t="s">
        <v>75</v>
      </c>
      <c r="J1" s="15" t="s">
        <v>76</v>
      </c>
      <c r="K1" s="15" t="s">
        <v>77</v>
      </c>
      <c r="L1" s="16" t="s">
        <v>78</v>
      </c>
      <c r="M1" s="15" t="s">
        <v>79</v>
      </c>
      <c r="N1" s="15" t="s">
        <v>80</v>
      </c>
      <c r="O1" s="15" t="s">
        <v>81</v>
      </c>
      <c r="P1" s="15" t="s">
        <v>82</v>
      </c>
      <c r="Q1" s="15" t="s">
        <v>83</v>
      </c>
      <c r="R1" s="15" t="s">
        <v>84</v>
      </c>
      <c r="S1" s="15" t="s">
        <v>85</v>
      </c>
      <c r="T1" s="15" t="s">
        <v>86</v>
      </c>
      <c r="U1" s="15" t="s">
        <v>87</v>
      </c>
      <c r="V1" s="15" t="s">
        <v>88</v>
      </c>
      <c r="W1" s="15" t="s">
        <v>89</v>
      </c>
      <c r="X1" s="15" t="s">
        <v>90</v>
      </c>
      <c r="Y1" s="15" t="s">
        <v>91</v>
      </c>
      <c r="Z1" s="15" t="s">
        <v>92</v>
      </c>
      <c r="AA1" s="15" t="s">
        <v>93</v>
      </c>
      <c r="AB1" s="16" t="s">
        <v>94</v>
      </c>
      <c r="AC1" s="17" t="s">
        <v>95</v>
      </c>
      <c r="AD1" s="18" t="s">
        <v>96</v>
      </c>
      <c r="AE1" s="19" t="s">
        <v>97</v>
      </c>
      <c r="AF1" s="19" t="s">
        <v>98</v>
      </c>
      <c r="AG1" s="20" t="s">
        <v>99</v>
      </c>
      <c r="AH1" s="21" t="s">
        <v>100</v>
      </c>
      <c r="AI1" s="21" t="s">
        <v>101</v>
      </c>
      <c r="AJ1" s="21" t="s">
        <v>102</v>
      </c>
      <c r="AK1" s="22" t="s">
        <v>103</v>
      </c>
      <c r="AL1" s="21" t="s">
        <v>104</v>
      </c>
      <c r="AM1" s="21" t="s">
        <v>105</v>
      </c>
      <c r="AN1" s="21" t="s">
        <v>106</v>
      </c>
      <c r="AO1" s="21" t="s">
        <v>107</v>
      </c>
      <c r="AP1" s="22" t="s">
        <v>108</v>
      </c>
      <c r="AQ1" s="21" t="s">
        <v>109</v>
      </c>
      <c r="AR1" s="21" t="s">
        <v>110</v>
      </c>
      <c r="AS1" s="21" t="s">
        <v>111</v>
      </c>
    </row>
    <row r="2" spans="1:45" ht="99.75" customHeight="1">
      <c r="A2" s="23" t="s">
        <v>112</v>
      </c>
      <c r="B2" s="23" t="s">
        <v>113</v>
      </c>
      <c r="C2" s="24" t="s">
        <v>114</v>
      </c>
      <c r="D2" s="25" t="s">
        <v>115</v>
      </c>
      <c r="E2" s="23" t="s">
        <v>116</v>
      </c>
      <c r="F2" s="23" t="s">
        <v>117</v>
      </c>
      <c r="G2" s="23">
        <v>48387440000000</v>
      </c>
      <c r="H2" s="23" t="s">
        <v>118</v>
      </c>
      <c r="I2" s="26">
        <v>508.59196972882103</v>
      </c>
      <c r="J2" s="23" t="s">
        <v>119</v>
      </c>
      <c r="K2" s="25" t="s">
        <v>120</v>
      </c>
      <c r="L2" s="23" t="s">
        <v>121</v>
      </c>
      <c r="M2" s="23"/>
      <c r="N2" s="23">
        <v>508.6</v>
      </c>
      <c r="O2" s="23" t="s">
        <v>122</v>
      </c>
      <c r="P2" s="27" t="s">
        <v>123</v>
      </c>
      <c r="Q2" s="27" t="s">
        <v>124</v>
      </c>
      <c r="R2" s="23" t="s">
        <v>125</v>
      </c>
      <c r="S2" s="23" t="s">
        <v>126</v>
      </c>
      <c r="T2" s="23" t="s">
        <v>127</v>
      </c>
      <c r="U2" s="23" t="s">
        <v>128</v>
      </c>
      <c r="V2" s="23" t="s">
        <v>129</v>
      </c>
      <c r="W2" s="23"/>
      <c r="X2" s="23">
        <v>431</v>
      </c>
      <c r="Y2" s="23" t="s">
        <v>130</v>
      </c>
      <c r="Z2" s="23" t="s">
        <v>131</v>
      </c>
      <c r="AA2" s="23" t="s">
        <v>120</v>
      </c>
      <c r="AB2" s="23" t="s">
        <v>121</v>
      </c>
      <c r="AC2" s="28" t="s">
        <v>132</v>
      </c>
      <c r="AD2" s="29">
        <v>507.98597460401902</v>
      </c>
      <c r="AG2" s="30" t="s">
        <v>133</v>
      </c>
      <c r="AH2" s="31">
        <v>109000000</v>
      </c>
      <c r="AI2" s="32" t="s">
        <v>134</v>
      </c>
      <c r="AJ2" s="28" t="s">
        <v>135</v>
      </c>
      <c r="AK2" s="28" t="s">
        <v>136</v>
      </c>
      <c r="AL2" s="33" t="s">
        <v>137</v>
      </c>
      <c r="AM2" s="31">
        <v>69052</v>
      </c>
      <c r="AN2" s="32" t="s">
        <v>138</v>
      </c>
      <c r="AO2" s="34">
        <v>2.9000000000000001E-2</v>
      </c>
      <c r="AP2" s="35" t="s">
        <v>139</v>
      </c>
      <c r="AQ2" s="28" t="s">
        <v>140</v>
      </c>
      <c r="AR2" s="29" t="s">
        <v>119</v>
      </c>
      <c r="AS2" s="28" t="s">
        <v>141</v>
      </c>
    </row>
    <row r="3" spans="1:45" ht="99.75" customHeight="1">
      <c r="A3" s="23" t="s">
        <v>142</v>
      </c>
      <c r="B3" s="23" t="s">
        <v>143</v>
      </c>
      <c r="C3" s="24" t="s">
        <v>144</v>
      </c>
      <c r="D3" s="25" t="s">
        <v>115</v>
      </c>
      <c r="E3" s="23" t="s">
        <v>145</v>
      </c>
      <c r="F3" s="23" t="s">
        <v>146</v>
      </c>
      <c r="G3" s="23">
        <v>1430000000000</v>
      </c>
      <c r="H3" s="23" t="s">
        <v>147</v>
      </c>
      <c r="I3" s="26">
        <v>211.85185185185199</v>
      </c>
      <c r="J3" s="23" t="s">
        <v>148</v>
      </c>
      <c r="K3" s="27" t="s">
        <v>149</v>
      </c>
      <c r="L3" s="23" t="s">
        <v>150</v>
      </c>
      <c r="M3" s="23"/>
      <c r="N3" s="23">
        <v>199.3</v>
      </c>
      <c r="O3" s="23" t="s">
        <v>151</v>
      </c>
      <c r="P3" s="27" t="s">
        <v>123</v>
      </c>
      <c r="Q3" s="27" t="s">
        <v>124</v>
      </c>
      <c r="R3" s="23" t="s">
        <v>152</v>
      </c>
      <c r="S3" s="23" t="s">
        <v>153</v>
      </c>
      <c r="T3" s="23" t="s">
        <v>154</v>
      </c>
      <c r="U3" s="23" t="s">
        <v>128</v>
      </c>
      <c r="V3" s="23" t="s">
        <v>155</v>
      </c>
      <c r="W3" s="23"/>
      <c r="X3" s="23">
        <v>4863</v>
      </c>
      <c r="Y3" s="23" t="s">
        <v>156</v>
      </c>
      <c r="Z3" s="23" t="s">
        <v>157</v>
      </c>
      <c r="AA3" s="23" t="s">
        <v>120</v>
      </c>
      <c r="AB3" s="23" t="s">
        <v>158</v>
      </c>
      <c r="AC3" s="28" t="s">
        <v>159</v>
      </c>
      <c r="AD3" s="29">
        <v>211.77931351513399</v>
      </c>
      <c r="AG3" s="30" t="s">
        <v>133</v>
      </c>
      <c r="AH3" s="31">
        <f>G3/AM3</f>
        <v>56917688.266199648</v>
      </c>
      <c r="AI3" s="32" t="s">
        <v>134</v>
      </c>
      <c r="AJ3" s="28" t="s">
        <v>160</v>
      </c>
      <c r="AK3" s="28" t="s">
        <v>136</v>
      </c>
      <c r="AL3" s="33" t="s">
        <v>161</v>
      </c>
      <c r="AM3" s="31">
        <v>25124</v>
      </c>
      <c r="AN3" s="32" t="s">
        <v>134</v>
      </c>
      <c r="AO3" s="34">
        <v>1.9699999999999999E-2</v>
      </c>
      <c r="AP3" s="35" t="s">
        <v>139</v>
      </c>
      <c r="AQ3" s="28" t="s">
        <v>162</v>
      </c>
      <c r="AR3" s="29" t="s">
        <v>163</v>
      </c>
      <c r="AS3" s="28" t="s">
        <v>164</v>
      </c>
    </row>
    <row r="4" spans="1:45" ht="156.75">
      <c r="A4" s="54" t="s">
        <v>165</v>
      </c>
      <c r="B4" s="54" t="s">
        <v>166</v>
      </c>
      <c r="C4" s="24" t="s">
        <v>167</v>
      </c>
      <c r="D4" s="25" t="s">
        <v>115</v>
      </c>
      <c r="E4" s="23" t="s">
        <v>168</v>
      </c>
      <c r="F4" s="23" t="s">
        <v>169</v>
      </c>
      <c r="G4" s="23">
        <v>101030000000000</v>
      </c>
      <c r="H4" s="23" t="s">
        <v>170</v>
      </c>
      <c r="I4" s="26">
        <v>5.6240258294366496</v>
      </c>
      <c r="J4" s="23" t="s">
        <v>171</v>
      </c>
      <c r="K4" s="25" t="s">
        <v>120</v>
      </c>
      <c r="L4" s="23" t="s">
        <v>172</v>
      </c>
      <c r="M4" s="23"/>
      <c r="N4" s="23">
        <v>28</v>
      </c>
      <c r="O4" s="23" t="s">
        <v>173</v>
      </c>
      <c r="P4" s="27" t="s">
        <v>123</v>
      </c>
      <c r="Q4" s="27" t="s">
        <v>124</v>
      </c>
      <c r="R4" s="23" t="s">
        <v>152</v>
      </c>
      <c r="S4" s="23" t="s">
        <v>153</v>
      </c>
      <c r="T4" s="23" t="s">
        <v>154</v>
      </c>
      <c r="U4" s="23" t="s">
        <v>128</v>
      </c>
      <c r="V4" s="23" t="s">
        <v>155</v>
      </c>
      <c r="W4" s="23"/>
      <c r="X4" s="23">
        <v>145</v>
      </c>
      <c r="Y4" s="23" t="s">
        <v>174</v>
      </c>
      <c r="Z4" s="23" t="s">
        <v>175</v>
      </c>
      <c r="AA4" s="23" t="s">
        <v>120</v>
      </c>
      <c r="AB4" s="23" t="s">
        <v>176</v>
      </c>
      <c r="AC4" s="28" t="s">
        <v>177</v>
      </c>
      <c r="AD4" s="29">
        <v>5.6560805779685301</v>
      </c>
      <c r="AG4" s="30" t="s">
        <v>133</v>
      </c>
      <c r="AH4" s="36">
        <v>24330000</v>
      </c>
      <c r="AI4" s="35" t="s">
        <v>139</v>
      </c>
      <c r="AJ4" s="28" t="s">
        <v>178</v>
      </c>
      <c r="AK4" s="28" t="s">
        <v>179</v>
      </c>
      <c r="AL4" s="33" t="s">
        <v>180</v>
      </c>
      <c r="AM4" s="36">
        <f>G4/AH4</f>
        <v>4152486.6420057542</v>
      </c>
      <c r="AN4" s="35" t="s">
        <v>139</v>
      </c>
      <c r="AO4" s="34">
        <v>4.5199999999999997E-2</v>
      </c>
      <c r="AP4" s="35" t="s">
        <v>139</v>
      </c>
      <c r="AQ4" s="28" t="s">
        <v>181</v>
      </c>
      <c r="AR4" s="29" t="s">
        <v>171</v>
      </c>
      <c r="AS4" s="28" t="s">
        <v>182</v>
      </c>
    </row>
    <row r="5" spans="1:45" ht="99.75" customHeight="1">
      <c r="A5" s="23" t="s">
        <v>183</v>
      </c>
      <c r="B5" s="23" t="s">
        <v>184</v>
      </c>
      <c r="C5" s="24" t="s">
        <v>185</v>
      </c>
      <c r="D5" s="25" t="s">
        <v>115</v>
      </c>
      <c r="E5" s="23" t="s">
        <v>186</v>
      </c>
      <c r="F5" s="23" t="s">
        <v>187</v>
      </c>
      <c r="G5" s="23">
        <v>643446000000</v>
      </c>
      <c r="H5" s="23" t="s">
        <v>188</v>
      </c>
      <c r="I5" s="26">
        <v>19.345941070354801</v>
      </c>
      <c r="J5" s="23" t="s">
        <v>189</v>
      </c>
      <c r="K5" s="25" t="s">
        <v>120</v>
      </c>
      <c r="L5" s="23" t="s">
        <v>190</v>
      </c>
      <c r="M5" s="23"/>
      <c r="N5" s="23">
        <v>19.2</v>
      </c>
      <c r="O5" s="23" t="s">
        <v>191</v>
      </c>
      <c r="P5" s="27" t="s">
        <v>123</v>
      </c>
      <c r="Q5" s="27" t="s">
        <v>124</v>
      </c>
      <c r="R5" s="23" t="s">
        <v>152</v>
      </c>
      <c r="S5" s="23" t="s">
        <v>153</v>
      </c>
      <c r="T5" s="23" t="s">
        <v>154</v>
      </c>
      <c r="U5" s="23" t="s">
        <v>128</v>
      </c>
      <c r="V5" s="23" t="s">
        <v>155</v>
      </c>
      <c r="W5" s="23"/>
      <c r="X5" s="23">
        <v>73</v>
      </c>
      <c r="Y5" s="23" t="s">
        <v>192</v>
      </c>
      <c r="Z5" s="23" t="s">
        <v>193</v>
      </c>
      <c r="AA5" s="23" t="s">
        <v>120</v>
      </c>
      <c r="AB5" s="23" t="s">
        <v>194</v>
      </c>
      <c r="AC5" s="28" t="s">
        <v>195</v>
      </c>
      <c r="AD5" s="29">
        <v>19.484019855201101</v>
      </c>
      <c r="AG5" s="30" t="s">
        <v>133</v>
      </c>
      <c r="AH5" s="36">
        <v>21230670</v>
      </c>
      <c r="AI5" s="35" t="s">
        <v>139</v>
      </c>
      <c r="AJ5" s="28" t="s">
        <v>196</v>
      </c>
      <c r="AK5" s="28" t="s">
        <v>193</v>
      </c>
      <c r="AL5" s="33" t="s">
        <v>197</v>
      </c>
      <c r="AM5" s="36">
        <f>G5/AH5</f>
        <v>30307.380784497145</v>
      </c>
      <c r="AN5" s="35" t="s">
        <v>139</v>
      </c>
      <c r="AO5" s="34">
        <v>2.8299999999999999E-2</v>
      </c>
      <c r="AP5" s="35" t="s">
        <v>139</v>
      </c>
      <c r="AQ5" s="28" t="s">
        <v>198</v>
      </c>
      <c r="AR5" s="29" t="s">
        <v>193</v>
      </c>
      <c r="AS5" s="28" t="s">
        <v>197</v>
      </c>
    </row>
    <row r="6" spans="1:45" ht="99.75" customHeight="1">
      <c r="A6" s="23" t="s">
        <v>199</v>
      </c>
      <c r="B6" s="23" t="s">
        <v>200</v>
      </c>
      <c r="C6" s="24" t="s">
        <v>201</v>
      </c>
      <c r="D6" s="25" t="s">
        <v>115</v>
      </c>
      <c r="E6" s="23" t="s">
        <v>202</v>
      </c>
      <c r="F6" s="23" t="s">
        <v>203</v>
      </c>
      <c r="G6" s="23">
        <v>120580070000</v>
      </c>
      <c r="H6" s="23" t="s">
        <v>204</v>
      </c>
      <c r="I6" s="26">
        <v>29.4097731707317</v>
      </c>
      <c r="J6" s="23" t="s">
        <v>189</v>
      </c>
      <c r="K6" s="25" t="s">
        <v>120</v>
      </c>
      <c r="L6" s="23" t="s">
        <v>205</v>
      </c>
      <c r="M6" s="23"/>
      <c r="N6" s="23">
        <v>47.3</v>
      </c>
      <c r="O6" s="23" t="s">
        <v>206</v>
      </c>
      <c r="P6" s="27" t="s">
        <v>123</v>
      </c>
      <c r="Q6" s="27" t="s">
        <v>124</v>
      </c>
      <c r="R6" s="23" t="s">
        <v>152</v>
      </c>
      <c r="S6" s="23" t="s">
        <v>153</v>
      </c>
      <c r="T6" s="23" t="s">
        <v>154</v>
      </c>
      <c r="U6" s="23" t="s">
        <v>128</v>
      </c>
      <c r="V6" s="23" t="s">
        <v>155</v>
      </c>
      <c r="W6" s="23"/>
      <c r="X6" s="23">
        <v>6</v>
      </c>
      <c r="Y6" s="23" t="s">
        <v>207</v>
      </c>
      <c r="Z6" s="23" t="s">
        <v>208</v>
      </c>
      <c r="AA6" s="23" t="s">
        <v>120</v>
      </c>
      <c r="AB6" s="23" t="s">
        <v>209</v>
      </c>
      <c r="AC6" s="28" t="s">
        <v>210</v>
      </c>
      <c r="AD6" s="29">
        <v>29.474040957600199</v>
      </c>
      <c r="AG6" s="37" t="s">
        <v>211</v>
      </c>
      <c r="AH6" s="31">
        <v>4033000</v>
      </c>
      <c r="AI6" s="32" t="s">
        <v>138</v>
      </c>
      <c r="AJ6" s="28" t="s">
        <v>212</v>
      </c>
      <c r="AK6" s="28" t="s">
        <v>213</v>
      </c>
      <c r="AL6" s="33" t="s">
        <v>214</v>
      </c>
      <c r="AM6" s="31">
        <f>G6/AH6</f>
        <v>29898.356062484501</v>
      </c>
      <c r="AN6" s="32" t="s">
        <v>138</v>
      </c>
      <c r="AO6" s="38">
        <v>0.01</v>
      </c>
      <c r="AP6" s="32" t="s">
        <v>138</v>
      </c>
      <c r="AQ6" s="28" t="s">
        <v>215</v>
      </c>
      <c r="AR6" s="29" t="s">
        <v>148</v>
      </c>
      <c r="AS6" s="28" t="s">
        <v>216</v>
      </c>
    </row>
    <row r="7" spans="1:45" ht="99.75" customHeight="1">
      <c r="A7" s="23" t="s">
        <v>217</v>
      </c>
      <c r="B7" s="23" t="s">
        <v>55</v>
      </c>
      <c r="C7" s="24" t="s">
        <v>218</v>
      </c>
      <c r="D7" s="25" t="s">
        <v>115</v>
      </c>
      <c r="E7" s="23" t="s">
        <v>219</v>
      </c>
      <c r="F7" s="23" t="s">
        <v>220</v>
      </c>
      <c r="G7" s="23">
        <f>AE7-AF7</f>
        <v>2359200000000</v>
      </c>
      <c r="H7" s="23" t="s">
        <v>221</v>
      </c>
      <c r="I7" s="26">
        <v>40.6758620689655</v>
      </c>
      <c r="J7" s="23" t="s">
        <v>222</v>
      </c>
      <c r="K7" s="25" t="s">
        <v>120</v>
      </c>
      <c r="L7" s="23" t="s">
        <v>223</v>
      </c>
      <c r="M7" s="23"/>
      <c r="N7" s="23">
        <v>12</v>
      </c>
      <c r="O7" s="23" t="s">
        <v>224</v>
      </c>
      <c r="P7" s="27" t="s">
        <v>123</v>
      </c>
      <c r="Q7" s="27" t="s">
        <v>124</v>
      </c>
      <c r="R7" s="23" t="s">
        <v>152</v>
      </c>
      <c r="S7" s="23" t="s">
        <v>153</v>
      </c>
      <c r="T7" s="23" t="s">
        <v>154</v>
      </c>
      <c r="U7" s="23" t="s">
        <v>128</v>
      </c>
      <c r="V7" s="23" t="s">
        <v>155</v>
      </c>
      <c r="W7" s="23"/>
      <c r="X7" s="39">
        <v>2748</v>
      </c>
      <c r="Y7" s="23" t="s">
        <v>225</v>
      </c>
      <c r="Z7" s="23" t="s">
        <v>226</v>
      </c>
      <c r="AA7" s="23" t="s">
        <v>120</v>
      </c>
      <c r="AB7" s="23" t="s">
        <v>227</v>
      </c>
      <c r="AC7" s="40" t="s">
        <v>228</v>
      </c>
      <c r="AD7" s="29">
        <v>38.780703897391703</v>
      </c>
      <c r="AE7" s="41">
        <v>3537000000000</v>
      </c>
      <c r="AF7" s="41">
        <v>1177800000000</v>
      </c>
      <c r="AG7" s="37" t="s">
        <v>211</v>
      </c>
      <c r="AH7" s="31">
        <f>G7/AM7</f>
        <v>41492841.816455029</v>
      </c>
      <c r="AI7" s="32" t="s">
        <v>134</v>
      </c>
      <c r="AJ7" s="28" t="s">
        <v>160</v>
      </c>
      <c r="AK7" s="28" t="s">
        <v>136</v>
      </c>
      <c r="AL7" s="33" t="s">
        <v>229</v>
      </c>
      <c r="AM7" s="31">
        <v>56858</v>
      </c>
      <c r="AN7" s="32" t="s">
        <v>134</v>
      </c>
      <c r="AO7" s="34">
        <v>5.3999999999999999E-2</v>
      </c>
      <c r="AP7" s="35" t="s">
        <v>139</v>
      </c>
      <c r="AQ7" s="28" t="s">
        <v>230</v>
      </c>
      <c r="AR7" s="29" t="s">
        <v>222</v>
      </c>
      <c r="AS7" s="28" t="s">
        <v>231</v>
      </c>
    </row>
    <row r="8" spans="1:45" ht="142.5" customHeight="1">
      <c r="A8" s="23" t="s">
        <v>232</v>
      </c>
      <c r="B8" s="23" t="s">
        <v>233</v>
      </c>
      <c r="C8" s="24" t="s">
        <v>234</v>
      </c>
      <c r="D8" s="25" t="s">
        <v>115</v>
      </c>
      <c r="E8" s="23" t="s">
        <v>235</v>
      </c>
      <c r="F8" s="23" t="s">
        <v>236</v>
      </c>
      <c r="G8" s="23">
        <v>142000000000000</v>
      </c>
      <c r="H8" s="23" t="s">
        <v>237</v>
      </c>
      <c r="I8" s="26">
        <v>5.5905511811023603</v>
      </c>
      <c r="J8" s="23" t="s">
        <v>238</v>
      </c>
      <c r="K8" s="25" t="s">
        <v>120</v>
      </c>
      <c r="L8" s="23" t="s">
        <v>239</v>
      </c>
      <c r="M8" s="23"/>
      <c r="N8" s="23">
        <v>28</v>
      </c>
      <c r="O8" s="23" t="s">
        <v>240</v>
      </c>
      <c r="P8" s="27" t="s">
        <v>123</v>
      </c>
      <c r="Q8" s="27" t="s">
        <v>124</v>
      </c>
      <c r="R8" s="23" t="s">
        <v>152</v>
      </c>
      <c r="S8" s="23" t="s">
        <v>153</v>
      </c>
      <c r="T8" s="23" t="s">
        <v>154</v>
      </c>
      <c r="U8" s="23" t="s">
        <v>128</v>
      </c>
      <c r="V8" s="23" t="s">
        <v>155</v>
      </c>
      <c r="W8" s="23"/>
      <c r="X8" s="23">
        <v>16</v>
      </c>
      <c r="Y8" s="23" t="s">
        <v>241</v>
      </c>
      <c r="Z8" s="23" t="s">
        <v>242</v>
      </c>
      <c r="AA8" s="23" t="s">
        <v>120</v>
      </c>
      <c r="AB8" s="23" t="s">
        <v>243</v>
      </c>
      <c r="AC8" s="28" t="s">
        <v>244</v>
      </c>
      <c r="AD8" s="29">
        <v>5.4348744644808002</v>
      </c>
      <c r="AG8" s="30" t="s">
        <v>133</v>
      </c>
      <c r="AH8" s="36">
        <v>30000000</v>
      </c>
      <c r="AI8" s="35" t="s">
        <v>139</v>
      </c>
      <c r="AJ8" s="28" t="s">
        <v>245</v>
      </c>
      <c r="AK8" s="28" t="s">
        <v>246</v>
      </c>
      <c r="AL8" s="33" t="s">
        <v>247</v>
      </c>
      <c r="AM8" s="36">
        <f>G8/AH8</f>
        <v>4733333.333333333</v>
      </c>
      <c r="AN8" s="35" t="s">
        <v>139</v>
      </c>
      <c r="AO8" s="34">
        <v>7.1999999999999995E-2</v>
      </c>
      <c r="AP8" s="35" t="s">
        <v>139</v>
      </c>
      <c r="AQ8" s="28" t="s">
        <v>248</v>
      </c>
      <c r="AR8" s="29" t="s">
        <v>249</v>
      </c>
      <c r="AS8" s="28" t="s">
        <v>250</v>
      </c>
    </row>
    <row r="9" spans="1:45" ht="99.75" customHeight="1">
      <c r="A9" s="23" t="s">
        <v>251</v>
      </c>
      <c r="B9" s="23" t="s">
        <v>252</v>
      </c>
      <c r="C9" s="24" t="s">
        <v>253</v>
      </c>
      <c r="D9" s="25" t="s">
        <v>115</v>
      </c>
      <c r="E9" s="23" t="s">
        <v>254</v>
      </c>
      <c r="F9" s="23" t="s">
        <v>255</v>
      </c>
      <c r="G9" s="23">
        <v>8487400000000</v>
      </c>
      <c r="H9" s="23" t="s">
        <v>256</v>
      </c>
      <c r="I9" s="26">
        <v>53.908790650406502</v>
      </c>
      <c r="J9" s="23" t="s">
        <v>131</v>
      </c>
      <c r="K9" s="25" t="s">
        <v>120</v>
      </c>
      <c r="L9" s="23" t="s">
        <v>257</v>
      </c>
      <c r="M9" s="23" t="s">
        <v>258</v>
      </c>
      <c r="N9" s="23">
        <v>274.8</v>
      </c>
      <c r="O9" s="23" t="s">
        <v>259</v>
      </c>
      <c r="P9" s="42" t="s">
        <v>260</v>
      </c>
      <c r="Q9" s="42" t="s">
        <v>261</v>
      </c>
      <c r="R9" s="23" t="s">
        <v>262</v>
      </c>
      <c r="S9" s="23" t="s">
        <v>263</v>
      </c>
      <c r="T9" s="23" t="s">
        <v>154</v>
      </c>
      <c r="U9" s="23" t="s">
        <v>264</v>
      </c>
      <c r="V9" s="23" t="s">
        <v>265</v>
      </c>
      <c r="W9" s="23"/>
      <c r="X9" s="23">
        <v>1475</v>
      </c>
      <c r="Y9" s="23" t="s">
        <v>266</v>
      </c>
      <c r="Z9" s="23" t="s">
        <v>175</v>
      </c>
      <c r="AA9" s="23" t="s">
        <v>120</v>
      </c>
      <c r="AB9" s="23" t="s">
        <v>267</v>
      </c>
      <c r="AC9" s="28" t="s">
        <v>268</v>
      </c>
      <c r="AD9" s="29">
        <v>53.758223577065799</v>
      </c>
      <c r="AG9" s="30" t="s">
        <v>133</v>
      </c>
      <c r="AH9" s="36">
        <v>10988000</v>
      </c>
      <c r="AI9" s="35" t="s">
        <v>139</v>
      </c>
      <c r="AJ9" s="28" t="s">
        <v>269</v>
      </c>
      <c r="AK9" s="28" t="s">
        <v>189</v>
      </c>
      <c r="AL9" s="33" t="s">
        <v>270</v>
      </c>
      <c r="AM9" s="36">
        <f>G9/AH9</f>
        <v>772424.46305060061</v>
      </c>
      <c r="AN9" s="35" t="s">
        <v>139</v>
      </c>
      <c r="AO9" s="38">
        <v>1.4999999999999999E-2</v>
      </c>
      <c r="AP9" s="32" t="s">
        <v>138</v>
      </c>
      <c r="AQ9" s="28" t="s">
        <v>271</v>
      </c>
      <c r="AR9" s="29" t="s">
        <v>272</v>
      </c>
      <c r="AS9" s="28" t="s">
        <v>273</v>
      </c>
    </row>
    <row r="10" spans="1:45" ht="299.25" customHeight="1">
      <c r="A10" s="23" t="s">
        <v>274</v>
      </c>
      <c r="B10" s="23" t="s">
        <v>275</v>
      </c>
      <c r="C10" s="24" t="s">
        <v>276</v>
      </c>
      <c r="D10" s="25" t="s">
        <v>115</v>
      </c>
      <c r="E10" s="23" t="s">
        <v>277</v>
      </c>
      <c r="F10" s="23" t="s">
        <v>278</v>
      </c>
      <c r="G10" s="23">
        <f>AE10-AF10</f>
        <v>687200000000000</v>
      </c>
      <c r="H10" s="23" t="s">
        <v>279</v>
      </c>
      <c r="I10" s="26">
        <v>497.97101449275402</v>
      </c>
      <c r="J10" s="23" t="s">
        <v>171</v>
      </c>
      <c r="K10" s="25" t="s">
        <v>120</v>
      </c>
      <c r="L10" s="23" t="s">
        <v>280</v>
      </c>
      <c r="M10" s="23"/>
      <c r="N10" s="23">
        <v>155</v>
      </c>
      <c r="O10" s="23" t="s">
        <v>281</v>
      </c>
      <c r="P10" s="42" t="s">
        <v>260</v>
      </c>
      <c r="Q10" s="42" t="s">
        <v>261</v>
      </c>
      <c r="R10" s="23" t="s">
        <v>262</v>
      </c>
      <c r="S10" s="23" t="s">
        <v>263</v>
      </c>
      <c r="T10" s="23" t="s">
        <v>154</v>
      </c>
      <c r="U10" s="23" t="s">
        <v>264</v>
      </c>
      <c r="V10" s="23" t="s">
        <v>265</v>
      </c>
      <c r="W10" s="23"/>
      <c r="X10" s="23">
        <v>183</v>
      </c>
      <c r="Y10" s="23" t="s">
        <v>282</v>
      </c>
      <c r="Z10" s="23" t="s">
        <v>283</v>
      </c>
      <c r="AA10" s="23" t="s">
        <v>149</v>
      </c>
      <c r="AB10" s="23" t="s">
        <v>284</v>
      </c>
      <c r="AC10" s="40" t="s">
        <v>285</v>
      </c>
      <c r="AD10" s="29">
        <v>487.50022847139502</v>
      </c>
      <c r="AE10" s="41">
        <v>1865800000000000</v>
      </c>
      <c r="AF10" s="41">
        <v>1178600000000000</v>
      </c>
      <c r="AG10" s="43" t="s">
        <v>286</v>
      </c>
      <c r="AH10" s="36">
        <v>19680000</v>
      </c>
      <c r="AI10" s="35" t="s">
        <v>139</v>
      </c>
      <c r="AJ10" s="28" t="s">
        <v>287</v>
      </c>
      <c r="AK10" s="28" t="s">
        <v>288</v>
      </c>
      <c r="AL10" s="33" t="s">
        <v>289</v>
      </c>
      <c r="AM10" s="36">
        <f>G10/AH10</f>
        <v>34918699.18699187</v>
      </c>
      <c r="AN10" s="35" t="s">
        <v>139</v>
      </c>
      <c r="AO10" s="34">
        <v>4.0000000000000001E-3</v>
      </c>
      <c r="AP10" s="35" t="s">
        <v>139</v>
      </c>
      <c r="AQ10" s="28" t="s">
        <v>290</v>
      </c>
      <c r="AR10" s="29" t="s">
        <v>171</v>
      </c>
      <c r="AS10" s="28" t="s">
        <v>291</v>
      </c>
    </row>
    <row r="11" spans="1:45" ht="242.25" customHeight="1">
      <c r="A11" s="23" t="s">
        <v>292</v>
      </c>
      <c r="B11" s="23" t="s">
        <v>57</v>
      </c>
      <c r="C11" s="24" t="s">
        <v>293</v>
      </c>
      <c r="D11" s="25" t="s">
        <v>115</v>
      </c>
      <c r="E11" s="23" t="s">
        <v>294</v>
      </c>
      <c r="F11" s="23" t="s">
        <v>295</v>
      </c>
      <c r="G11" s="23">
        <f>AE11-AF11</f>
        <v>1999776000000</v>
      </c>
      <c r="H11" s="23" t="s">
        <v>296</v>
      </c>
      <c r="I11" s="26">
        <v>61.5315692307692</v>
      </c>
      <c r="J11" s="23" t="s">
        <v>189</v>
      </c>
      <c r="K11" s="25" t="s">
        <v>120</v>
      </c>
      <c r="L11" s="23" t="s">
        <v>297</v>
      </c>
      <c r="M11" s="23"/>
      <c r="N11" s="23">
        <v>85</v>
      </c>
      <c r="O11" s="23" t="s">
        <v>298</v>
      </c>
      <c r="P11" s="42" t="s">
        <v>260</v>
      </c>
      <c r="Q11" s="42" t="s">
        <v>261</v>
      </c>
      <c r="R11" s="23"/>
      <c r="S11" s="23"/>
      <c r="T11" s="23" t="s">
        <v>299</v>
      </c>
      <c r="U11" s="23" t="s">
        <v>128</v>
      </c>
      <c r="V11" s="23" t="s">
        <v>300</v>
      </c>
      <c r="W11" s="24" t="s">
        <v>301</v>
      </c>
      <c r="X11" s="23">
        <v>8</v>
      </c>
      <c r="Y11" s="23" t="s">
        <v>302</v>
      </c>
      <c r="Z11" s="23" t="s">
        <v>222</v>
      </c>
      <c r="AA11" s="23" t="s">
        <v>120</v>
      </c>
      <c r="AB11" s="23" t="s">
        <v>303</v>
      </c>
      <c r="AC11" s="40" t="s">
        <v>304</v>
      </c>
      <c r="AD11" s="29">
        <v>62.143319540943097</v>
      </c>
      <c r="AE11" s="41">
        <v>13843306000000</v>
      </c>
      <c r="AF11" s="41">
        <v>11843530000000</v>
      </c>
      <c r="AG11" s="37" t="s">
        <v>211</v>
      </c>
      <c r="AH11" s="31">
        <v>2790000</v>
      </c>
      <c r="AI11" s="32" t="s">
        <v>138</v>
      </c>
      <c r="AJ11" s="28" t="s">
        <v>305</v>
      </c>
      <c r="AK11" s="28" t="s">
        <v>136</v>
      </c>
      <c r="AL11" s="33" t="s">
        <v>306</v>
      </c>
      <c r="AM11" s="31">
        <v>728000</v>
      </c>
      <c r="AN11" s="32" t="s">
        <v>138</v>
      </c>
      <c r="AO11" s="34">
        <v>1.5E-3</v>
      </c>
      <c r="AP11" s="35" t="s">
        <v>139</v>
      </c>
      <c r="AQ11" s="28" t="s">
        <v>307</v>
      </c>
      <c r="AR11" s="29" t="s">
        <v>308</v>
      </c>
      <c r="AS11" s="28" t="s">
        <v>309</v>
      </c>
    </row>
    <row r="12" spans="1:45" ht="142.5" customHeight="1">
      <c r="A12" s="23" t="s">
        <v>310</v>
      </c>
      <c r="B12" s="23" t="s">
        <v>311</v>
      </c>
      <c r="C12" s="24" t="s">
        <v>312</v>
      </c>
      <c r="D12" s="25" t="s">
        <v>115</v>
      </c>
      <c r="E12" s="23" t="s">
        <v>313</v>
      </c>
      <c r="F12" s="23" t="s">
        <v>314</v>
      </c>
      <c r="G12" s="23">
        <v>565531900000</v>
      </c>
      <c r="H12" s="23" t="s">
        <v>315</v>
      </c>
      <c r="I12" s="26">
        <v>4.5703240665912404</v>
      </c>
      <c r="J12" s="23" t="s">
        <v>316</v>
      </c>
      <c r="K12" s="25" t="s">
        <v>120</v>
      </c>
      <c r="L12" s="23" t="s">
        <v>317</v>
      </c>
      <c r="M12" s="23"/>
      <c r="N12" s="23">
        <v>12.9</v>
      </c>
      <c r="O12" s="23" t="s">
        <v>240</v>
      </c>
      <c r="P12" s="27" t="s">
        <v>123</v>
      </c>
      <c r="Q12" s="27" t="s">
        <v>124</v>
      </c>
      <c r="R12" s="23" t="s">
        <v>125</v>
      </c>
      <c r="S12" s="23" t="s">
        <v>126</v>
      </c>
      <c r="T12" s="23" t="s">
        <v>127</v>
      </c>
      <c r="U12" s="23" t="s">
        <v>128</v>
      </c>
      <c r="V12" s="23" t="s">
        <v>129</v>
      </c>
      <c r="W12" s="23"/>
      <c r="X12" s="23">
        <v>724</v>
      </c>
      <c r="Y12" s="23" t="s">
        <v>318</v>
      </c>
      <c r="Z12" s="23" t="s">
        <v>163</v>
      </c>
      <c r="AA12" s="23" t="s">
        <v>120</v>
      </c>
      <c r="AB12" s="23" t="s">
        <v>319</v>
      </c>
      <c r="AC12" s="28" t="s">
        <v>320</v>
      </c>
      <c r="AD12" s="29">
        <v>4.5763445448178599</v>
      </c>
      <c r="AG12" s="30" t="s">
        <v>133</v>
      </c>
      <c r="AH12" s="31">
        <f>G12/AM12</f>
        <v>6294878.6731967945</v>
      </c>
      <c r="AI12" s="32" t="s">
        <v>134</v>
      </c>
      <c r="AJ12" s="28" t="s">
        <v>160</v>
      </c>
      <c r="AK12" s="28" t="s">
        <v>136</v>
      </c>
      <c r="AL12" s="33" t="s">
        <v>321</v>
      </c>
      <c r="AM12" s="31">
        <v>89840</v>
      </c>
      <c r="AN12" s="32" t="s">
        <v>134</v>
      </c>
      <c r="AO12" s="34">
        <v>0.37109999999999999</v>
      </c>
      <c r="AP12" s="35" t="s">
        <v>139</v>
      </c>
      <c r="AQ12" s="28" t="s">
        <v>322</v>
      </c>
      <c r="AR12" s="29" t="s">
        <v>222</v>
      </c>
      <c r="AS12" s="28" t="s">
        <v>323</v>
      </c>
    </row>
    <row r="13" spans="1:45" ht="99.75">
      <c r="A13" s="54" t="s">
        <v>324</v>
      </c>
      <c r="B13" s="54" t="s">
        <v>325</v>
      </c>
      <c r="C13" s="24" t="s">
        <v>326</v>
      </c>
      <c r="D13" s="25" t="s">
        <v>115</v>
      </c>
      <c r="E13" s="23" t="s">
        <v>327</v>
      </c>
      <c r="F13" s="23" t="s">
        <v>328</v>
      </c>
      <c r="G13" s="39">
        <v>998000000000</v>
      </c>
      <c r="H13" s="23" t="s">
        <v>329</v>
      </c>
      <c r="I13" s="26">
        <v>3.5953598962461299</v>
      </c>
      <c r="J13" s="23" t="s">
        <v>148</v>
      </c>
      <c r="K13" s="25" t="s">
        <v>120</v>
      </c>
      <c r="L13" s="23" t="s">
        <v>330</v>
      </c>
      <c r="M13" s="23"/>
      <c r="N13" s="23">
        <v>1.36</v>
      </c>
      <c r="O13" s="23" t="s">
        <v>331</v>
      </c>
      <c r="P13" s="27" t="s">
        <v>123</v>
      </c>
      <c r="Q13" s="27" t="s">
        <v>124</v>
      </c>
      <c r="R13" s="23" t="s">
        <v>125</v>
      </c>
      <c r="S13" s="23" t="s">
        <v>126</v>
      </c>
      <c r="T13" s="23" t="s">
        <v>332</v>
      </c>
      <c r="U13" s="23" t="s">
        <v>128</v>
      </c>
      <c r="V13" s="23" t="s">
        <v>129</v>
      </c>
      <c r="W13" s="23"/>
      <c r="X13" s="23">
        <v>116</v>
      </c>
      <c r="Y13" s="23" t="s">
        <v>333</v>
      </c>
      <c r="Z13" s="23" t="s">
        <v>283</v>
      </c>
      <c r="AA13" s="23" t="s">
        <v>149</v>
      </c>
      <c r="AB13" s="23" t="s">
        <v>334</v>
      </c>
      <c r="AC13" s="40" t="s">
        <v>335</v>
      </c>
      <c r="AD13" s="29">
        <v>3.59039558388538</v>
      </c>
      <c r="AE13" s="41"/>
      <c r="AF13" s="41"/>
      <c r="AG13" s="37" t="s">
        <v>211</v>
      </c>
      <c r="AH13" s="31">
        <v>9068000</v>
      </c>
      <c r="AI13" s="32" t="s">
        <v>138</v>
      </c>
      <c r="AJ13" s="28" t="s">
        <v>336</v>
      </c>
      <c r="AK13" s="28" t="s">
        <v>213</v>
      </c>
      <c r="AL13" s="33" t="s">
        <v>337</v>
      </c>
      <c r="AM13" s="31">
        <f>G13/AH13</f>
        <v>110057.34450816056</v>
      </c>
      <c r="AN13" s="32" t="s">
        <v>138</v>
      </c>
      <c r="AO13" s="34">
        <v>4.8000000000000001E-2</v>
      </c>
      <c r="AP13" s="35" t="s">
        <v>139</v>
      </c>
      <c r="AQ13" s="28" t="s">
        <v>338</v>
      </c>
      <c r="AR13" s="29" t="s">
        <v>193</v>
      </c>
      <c r="AS13" s="28" t="s">
        <v>339</v>
      </c>
    </row>
    <row r="14" spans="1:45" ht="142.5" customHeight="1">
      <c r="A14" s="23" t="s">
        <v>340</v>
      </c>
      <c r="B14" s="23" t="s">
        <v>341</v>
      </c>
      <c r="C14" s="24" t="s">
        <v>342</v>
      </c>
      <c r="D14" s="25" t="s">
        <v>115</v>
      </c>
      <c r="E14" s="23" t="s">
        <v>343</v>
      </c>
      <c r="F14" s="23" t="s">
        <v>344</v>
      </c>
      <c r="G14" s="23">
        <v>2450300000000</v>
      </c>
      <c r="H14" s="23" t="s">
        <v>345</v>
      </c>
      <c r="I14" s="26">
        <v>7.3003813609820103</v>
      </c>
      <c r="J14" s="23" t="s">
        <v>316</v>
      </c>
      <c r="K14" s="25" t="s">
        <v>120</v>
      </c>
      <c r="L14" s="23" t="s">
        <v>346</v>
      </c>
      <c r="M14" s="23" t="s">
        <v>347</v>
      </c>
      <c r="N14" s="23">
        <v>4.26</v>
      </c>
      <c r="O14" s="23" t="s">
        <v>240</v>
      </c>
      <c r="P14" s="27" t="s">
        <v>123</v>
      </c>
      <c r="Q14" s="27" t="s">
        <v>124</v>
      </c>
      <c r="R14" s="23" t="s">
        <v>152</v>
      </c>
      <c r="S14" s="23" t="s">
        <v>153</v>
      </c>
      <c r="T14" s="23" t="s">
        <v>127</v>
      </c>
      <c r="U14" s="23" t="s">
        <v>128</v>
      </c>
      <c r="V14" s="23" t="s">
        <v>155</v>
      </c>
      <c r="W14" s="23"/>
      <c r="X14" s="23">
        <v>31</v>
      </c>
      <c r="Y14" s="23" t="s">
        <v>348</v>
      </c>
      <c r="Z14" s="23" t="s">
        <v>349</v>
      </c>
      <c r="AA14" s="23" t="s">
        <v>120</v>
      </c>
      <c r="AB14" s="23" t="s">
        <v>350</v>
      </c>
      <c r="AC14" s="28" t="s">
        <v>351</v>
      </c>
      <c r="AD14" s="29">
        <v>7.3067542857723602</v>
      </c>
      <c r="AG14" s="30" t="s">
        <v>133</v>
      </c>
      <c r="AH14" s="31">
        <f>G14/AM14</f>
        <v>5736593.8169431211</v>
      </c>
      <c r="AI14" s="32" t="s">
        <v>134</v>
      </c>
      <c r="AJ14" s="28" t="s">
        <v>160</v>
      </c>
      <c r="AK14" s="28" t="s">
        <v>136</v>
      </c>
      <c r="AL14" s="33" t="s">
        <v>352</v>
      </c>
      <c r="AM14" s="31">
        <v>427135</v>
      </c>
      <c r="AN14" s="32" t="s">
        <v>134</v>
      </c>
      <c r="AO14" s="34">
        <v>4.3999999999999997E-2</v>
      </c>
      <c r="AP14" s="35" t="s">
        <v>139</v>
      </c>
      <c r="AQ14" s="28" t="s">
        <v>353</v>
      </c>
      <c r="AR14" s="29" t="s">
        <v>171</v>
      </c>
      <c r="AS14" s="28" t="s">
        <v>352</v>
      </c>
    </row>
    <row r="15" spans="1:45" ht="99.75" customHeight="1">
      <c r="A15" s="23" t="s">
        <v>354</v>
      </c>
      <c r="B15" s="23" t="s">
        <v>355</v>
      </c>
      <c r="C15" s="24" t="s">
        <v>356</v>
      </c>
      <c r="D15" s="25" t="s">
        <v>115</v>
      </c>
      <c r="E15" s="23" t="s">
        <v>357</v>
      </c>
      <c r="F15" s="23" t="s">
        <v>358</v>
      </c>
      <c r="G15" s="23">
        <v>278300000000</v>
      </c>
      <c r="H15" s="23" t="s">
        <v>359</v>
      </c>
      <c r="I15" s="26">
        <v>16.123986095017401</v>
      </c>
      <c r="J15" s="23" t="s">
        <v>148</v>
      </c>
      <c r="K15" s="25" t="s">
        <v>120</v>
      </c>
      <c r="L15" s="23" t="s">
        <v>360</v>
      </c>
      <c r="M15" s="23"/>
      <c r="N15" s="23">
        <v>40.6</v>
      </c>
      <c r="O15" s="23" t="s">
        <v>361</v>
      </c>
      <c r="P15" s="27" t="s">
        <v>123</v>
      </c>
      <c r="Q15" s="27" t="s">
        <v>124</v>
      </c>
      <c r="R15" s="23" t="s">
        <v>152</v>
      </c>
      <c r="S15" s="23" t="s">
        <v>153</v>
      </c>
      <c r="T15" s="23" t="s">
        <v>362</v>
      </c>
      <c r="U15" s="23" t="s">
        <v>264</v>
      </c>
      <c r="V15" s="23" t="s">
        <v>363</v>
      </c>
      <c r="W15" s="23"/>
      <c r="X15" s="23">
        <v>2145</v>
      </c>
      <c r="Y15" s="23" t="s">
        <v>364</v>
      </c>
      <c r="Z15" s="23" t="s">
        <v>365</v>
      </c>
      <c r="AA15" s="23" t="s">
        <v>149</v>
      </c>
      <c r="AB15" s="23" t="s">
        <v>366</v>
      </c>
      <c r="AC15" s="28" t="s">
        <v>367</v>
      </c>
      <c r="AD15" s="29">
        <v>16.236007965270002</v>
      </c>
      <c r="AG15" s="37" t="s">
        <v>211</v>
      </c>
      <c r="AH15" s="36">
        <v>14500000</v>
      </c>
      <c r="AI15" s="35" t="s">
        <v>139</v>
      </c>
      <c r="AJ15" s="28" t="s">
        <v>368</v>
      </c>
      <c r="AK15" s="28" t="s">
        <v>369</v>
      </c>
      <c r="AL15" s="33" t="s">
        <v>370</v>
      </c>
      <c r="AM15" s="36">
        <f>G15/AH15</f>
        <v>19193.103448275862</v>
      </c>
      <c r="AN15" s="35" t="s">
        <v>139</v>
      </c>
      <c r="AO15" s="34">
        <v>4.5999999999999999E-2</v>
      </c>
      <c r="AP15" s="35" t="s">
        <v>139</v>
      </c>
      <c r="AQ15" s="28" t="s">
        <v>371</v>
      </c>
      <c r="AR15" s="29" t="s">
        <v>369</v>
      </c>
      <c r="AS15" s="28" t="s">
        <v>370</v>
      </c>
    </row>
    <row r="16" spans="1:45" ht="99.75" customHeight="1">
      <c r="A16" s="23" t="s">
        <v>372</v>
      </c>
      <c r="B16" s="23" t="s">
        <v>373</v>
      </c>
      <c r="C16" s="24" t="s">
        <v>374</v>
      </c>
      <c r="D16" s="25" t="s">
        <v>115</v>
      </c>
      <c r="E16" s="23" t="s">
        <v>375</v>
      </c>
      <c r="F16" s="23" t="s">
        <v>376</v>
      </c>
      <c r="G16" s="23">
        <v>1182697000000</v>
      </c>
      <c r="H16" s="23" t="s">
        <v>377</v>
      </c>
      <c r="I16" s="26">
        <v>215.035818181818</v>
      </c>
      <c r="J16" s="23" t="s">
        <v>189</v>
      </c>
      <c r="K16" s="25" t="s">
        <v>120</v>
      </c>
      <c r="L16" s="23" t="s">
        <v>378</v>
      </c>
      <c r="M16" s="23"/>
      <c r="N16" s="23">
        <v>95</v>
      </c>
      <c r="O16" s="23" t="s">
        <v>379</v>
      </c>
      <c r="P16" s="27" t="s">
        <v>123</v>
      </c>
      <c r="Q16" s="27" t="s">
        <v>124</v>
      </c>
      <c r="R16" s="23" t="s">
        <v>152</v>
      </c>
      <c r="S16" s="23" t="s">
        <v>153</v>
      </c>
      <c r="T16" s="23" t="s">
        <v>362</v>
      </c>
      <c r="U16" s="23" t="s">
        <v>128</v>
      </c>
      <c r="V16" s="23" t="s">
        <v>155</v>
      </c>
      <c r="W16" s="23"/>
      <c r="X16" s="23">
        <v>136</v>
      </c>
      <c r="Y16" s="23" t="s">
        <v>380</v>
      </c>
      <c r="Z16" s="23" t="s">
        <v>381</v>
      </c>
      <c r="AA16" s="23" t="s">
        <v>120</v>
      </c>
      <c r="AB16" s="23" t="s">
        <v>382</v>
      </c>
      <c r="AC16" s="28" t="s">
        <v>383</v>
      </c>
      <c r="AD16" s="29">
        <v>232.398934110108</v>
      </c>
      <c r="AG16" s="43" t="s">
        <v>286</v>
      </c>
      <c r="AH16" s="36">
        <v>46400000</v>
      </c>
      <c r="AI16" s="35" t="s">
        <v>139</v>
      </c>
      <c r="AJ16" s="28" t="s">
        <v>384</v>
      </c>
      <c r="AK16" s="28" t="s">
        <v>385</v>
      </c>
      <c r="AL16" s="33" t="s">
        <v>386</v>
      </c>
      <c r="AM16" s="36">
        <f>G16/AH16</f>
        <v>25489.15948275862</v>
      </c>
      <c r="AN16" s="35" t="s">
        <v>139</v>
      </c>
      <c r="AO16" s="34">
        <v>5.6899999999999999E-2</v>
      </c>
      <c r="AP16" s="35" t="s">
        <v>139</v>
      </c>
      <c r="AQ16" s="28" t="s">
        <v>387</v>
      </c>
      <c r="AR16" s="29" t="s">
        <v>189</v>
      </c>
      <c r="AS16" s="28" t="s">
        <v>388</v>
      </c>
    </row>
    <row r="17" spans="1:45" ht="142.5" customHeight="1">
      <c r="A17" s="23" t="s">
        <v>389</v>
      </c>
      <c r="B17" s="23" t="s">
        <v>390</v>
      </c>
      <c r="C17" s="24" t="s">
        <v>391</v>
      </c>
      <c r="D17" s="25" t="s">
        <v>115</v>
      </c>
      <c r="E17" s="23" t="s">
        <v>392</v>
      </c>
      <c r="F17" s="23" t="s">
        <v>393</v>
      </c>
      <c r="G17" s="23">
        <v>76800000000</v>
      </c>
      <c r="H17" s="23" t="s">
        <v>394</v>
      </c>
      <c r="I17" s="26">
        <v>0.59410536087259203</v>
      </c>
      <c r="J17" s="23" t="s">
        <v>193</v>
      </c>
      <c r="K17" s="25" t="s">
        <v>120</v>
      </c>
      <c r="L17" s="23" t="s">
        <v>395</v>
      </c>
      <c r="M17" s="23" t="s">
        <v>396</v>
      </c>
      <c r="N17" s="23">
        <v>0.42699999999999999</v>
      </c>
      <c r="O17" s="23" t="s">
        <v>397</v>
      </c>
      <c r="P17" s="27" t="s">
        <v>123</v>
      </c>
      <c r="Q17" s="27" t="s">
        <v>124</v>
      </c>
      <c r="R17" s="23" t="s">
        <v>125</v>
      </c>
      <c r="S17" s="23" t="s">
        <v>126</v>
      </c>
      <c r="T17" s="23" t="s">
        <v>398</v>
      </c>
      <c r="U17" s="23" t="s">
        <v>128</v>
      </c>
      <c r="V17" s="23" t="s">
        <v>129</v>
      </c>
      <c r="W17" s="23"/>
      <c r="X17" s="23">
        <v>195</v>
      </c>
      <c r="Y17" s="23" t="s">
        <v>399</v>
      </c>
      <c r="Z17" s="23" t="s">
        <v>400</v>
      </c>
      <c r="AA17" s="23" t="s">
        <v>120</v>
      </c>
      <c r="AB17" s="23" t="s">
        <v>401</v>
      </c>
      <c r="AC17" s="28" t="s">
        <v>402</v>
      </c>
      <c r="AD17" s="29">
        <v>0.59369661175488397</v>
      </c>
      <c r="AG17" s="30" t="s">
        <v>133</v>
      </c>
      <c r="AH17" s="36">
        <v>5500000</v>
      </c>
      <c r="AI17" s="35" t="s">
        <v>139</v>
      </c>
      <c r="AJ17" s="28" t="s">
        <v>403</v>
      </c>
      <c r="AK17" s="28" t="s">
        <v>193</v>
      </c>
      <c r="AL17" s="33" t="s">
        <v>404</v>
      </c>
      <c r="AM17" s="31">
        <v>13960</v>
      </c>
      <c r="AN17" s="32" t="s">
        <v>138</v>
      </c>
      <c r="AO17" s="34">
        <v>0.159</v>
      </c>
      <c r="AP17" s="35" t="s">
        <v>139</v>
      </c>
      <c r="AQ17" s="28" t="s">
        <v>405</v>
      </c>
      <c r="AR17" s="29" t="s">
        <v>119</v>
      </c>
      <c r="AS17" s="28" t="s">
        <v>406</v>
      </c>
    </row>
    <row r="18" spans="1:45" ht="114" customHeight="1">
      <c r="A18" s="23" t="s">
        <v>407</v>
      </c>
      <c r="B18" s="23" t="s">
        <v>408</v>
      </c>
      <c r="C18" s="24" t="s">
        <v>409</v>
      </c>
      <c r="D18" s="25" t="s">
        <v>115</v>
      </c>
      <c r="E18" s="23" t="s">
        <v>410</v>
      </c>
      <c r="F18" s="23" t="s">
        <v>411</v>
      </c>
      <c r="G18" s="23">
        <v>185826000000</v>
      </c>
      <c r="H18" s="23" t="s">
        <v>412</v>
      </c>
      <c r="I18" s="26">
        <v>10.3236666666667</v>
      </c>
      <c r="J18" s="23" t="s">
        <v>193</v>
      </c>
      <c r="K18" s="25" t="s">
        <v>120</v>
      </c>
      <c r="L18" s="23" t="s">
        <v>413</v>
      </c>
      <c r="M18" s="23" t="s">
        <v>414</v>
      </c>
      <c r="N18" s="23">
        <v>9.5299999999999994</v>
      </c>
      <c r="O18" s="23" t="s">
        <v>415</v>
      </c>
      <c r="P18" s="27" t="s">
        <v>123</v>
      </c>
      <c r="Q18" s="27" t="s">
        <v>124</v>
      </c>
      <c r="R18" s="23" t="s">
        <v>152</v>
      </c>
      <c r="S18" s="23" t="s">
        <v>153</v>
      </c>
      <c r="T18" s="23" t="s">
        <v>398</v>
      </c>
      <c r="U18" s="23" t="s">
        <v>128</v>
      </c>
      <c r="V18" s="23" t="s">
        <v>155</v>
      </c>
      <c r="W18" s="23"/>
      <c r="X18" s="23">
        <v>8147</v>
      </c>
      <c r="Y18" s="23" t="s">
        <v>416</v>
      </c>
      <c r="Z18" s="23" t="s">
        <v>131</v>
      </c>
      <c r="AA18" s="23" t="s">
        <v>120</v>
      </c>
      <c r="AB18" s="23" t="s">
        <v>417</v>
      </c>
      <c r="AC18" s="28" t="s">
        <v>418</v>
      </c>
      <c r="AD18" s="29">
        <v>11.4959303110031</v>
      </c>
      <c r="AG18" s="30" t="s">
        <v>133</v>
      </c>
      <c r="AH18" s="31">
        <f>G18/AM18</f>
        <v>4499418.8861985477</v>
      </c>
      <c r="AI18" s="32" t="s">
        <v>138</v>
      </c>
      <c r="AJ18" s="28" t="s">
        <v>419</v>
      </c>
      <c r="AK18" s="28" t="s">
        <v>136</v>
      </c>
      <c r="AL18" s="33" t="s">
        <v>420</v>
      </c>
      <c r="AM18" s="31">
        <v>41300</v>
      </c>
      <c r="AN18" s="32" t="s">
        <v>138</v>
      </c>
      <c r="AO18" s="38">
        <v>0.22459999999999999</v>
      </c>
      <c r="AP18" s="32" t="s">
        <v>138</v>
      </c>
      <c r="AQ18" s="28" t="s">
        <v>421</v>
      </c>
      <c r="AR18" s="29" t="s">
        <v>193</v>
      </c>
      <c r="AS18" s="28" t="s">
        <v>420</v>
      </c>
    </row>
    <row r="19" spans="1:45" ht="99.75" customHeight="1">
      <c r="A19" s="23" t="s">
        <v>422</v>
      </c>
      <c r="B19" s="23" t="s">
        <v>423</v>
      </c>
      <c r="C19" s="24" t="s">
        <v>424</v>
      </c>
      <c r="D19" s="25" t="s">
        <v>115</v>
      </c>
      <c r="E19" s="23" t="s">
        <v>425</v>
      </c>
      <c r="F19" s="23" t="s">
        <v>426</v>
      </c>
      <c r="G19" s="23">
        <v>3783400000000</v>
      </c>
      <c r="H19" s="23" t="s">
        <v>427</v>
      </c>
      <c r="I19" s="26">
        <v>2.52226666666667</v>
      </c>
      <c r="J19" s="23" t="s">
        <v>148</v>
      </c>
      <c r="K19" s="25" t="s">
        <v>120</v>
      </c>
      <c r="L19" s="23" t="s">
        <v>428</v>
      </c>
      <c r="M19" s="23"/>
      <c r="N19" s="23">
        <v>0.95379999999999998</v>
      </c>
      <c r="O19" s="23" t="s">
        <v>429</v>
      </c>
      <c r="P19" s="27" t="s">
        <v>123</v>
      </c>
      <c r="Q19" s="27" t="s">
        <v>124</v>
      </c>
      <c r="R19" s="23" t="s">
        <v>125</v>
      </c>
      <c r="S19" s="23" t="s">
        <v>126</v>
      </c>
      <c r="T19" s="23" t="s">
        <v>398</v>
      </c>
      <c r="U19" s="23" t="s">
        <v>128</v>
      </c>
      <c r="V19" s="23" t="s">
        <v>129</v>
      </c>
      <c r="W19" s="23"/>
      <c r="X19" s="23">
        <v>785</v>
      </c>
      <c r="Y19" s="23" t="s">
        <v>430</v>
      </c>
      <c r="Z19" s="23" t="s">
        <v>431</v>
      </c>
      <c r="AA19" s="23" t="s">
        <v>149</v>
      </c>
      <c r="AB19" s="23" t="s">
        <v>432</v>
      </c>
      <c r="AC19" s="40" t="s">
        <v>433</v>
      </c>
      <c r="AD19" s="29">
        <v>2.77394429301195</v>
      </c>
      <c r="AG19" s="43" t="s">
        <v>286</v>
      </c>
      <c r="AH19" s="31">
        <v>8372000</v>
      </c>
      <c r="AI19" s="32" t="s">
        <v>138</v>
      </c>
      <c r="AJ19" s="28" t="s">
        <v>434</v>
      </c>
      <c r="AK19" s="28" t="s">
        <v>213</v>
      </c>
      <c r="AL19" s="33" t="s">
        <v>435</v>
      </c>
      <c r="AM19" s="31">
        <f>G19/AH19</f>
        <v>451911.13234591496</v>
      </c>
      <c r="AN19" s="32" t="s">
        <v>138</v>
      </c>
      <c r="AO19" s="38">
        <v>5.62E-2</v>
      </c>
      <c r="AP19" s="32" t="s">
        <v>138</v>
      </c>
      <c r="AQ19" s="28" t="s">
        <v>436</v>
      </c>
      <c r="AR19" s="29" t="s">
        <v>437</v>
      </c>
      <c r="AS19" s="28" t="s">
        <v>438</v>
      </c>
    </row>
    <row r="20" spans="1:45" ht="142.5" customHeight="1">
      <c r="A20" s="23" t="s">
        <v>439</v>
      </c>
      <c r="B20" s="23" t="s">
        <v>440</v>
      </c>
      <c r="C20" s="24" t="s">
        <v>441</v>
      </c>
      <c r="D20" s="25" t="s">
        <v>115</v>
      </c>
      <c r="E20" s="23" t="s">
        <v>442</v>
      </c>
      <c r="F20" s="23" t="s">
        <v>443</v>
      </c>
      <c r="G20" s="23">
        <v>5654150000</v>
      </c>
      <c r="H20" s="23" t="s">
        <v>444</v>
      </c>
      <c r="I20" s="26">
        <v>0.36478387096774201</v>
      </c>
      <c r="J20" s="23" t="s">
        <v>445</v>
      </c>
      <c r="K20" s="27" t="s">
        <v>149</v>
      </c>
      <c r="L20" s="23" t="s">
        <v>446</v>
      </c>
      <c r="M20" s="23"/>
      <c r="N20" s="23">
        <v>2.88</v>
      </c>
      <c r="O20" s="23" t="s">
        <v>240</v>
      </c>
      <c r="P20" s="27" t="s">
        <v>123</v>
      </c>
      <c r="Q20" s="27" t="s">
        <v>124</v>
      </c>
      <c r="R20" s="23" t="s">
        <v>125</v>
      </c>
      <c r="S20" s="23" t="s">
        <v>126</v>
      </c>
      <c r="T20" s="23" t="s">
        <v>398</v>
      </c>
      <c r="U20" s="23" t="s">
        <v>128</v>
      </c>
      <c r="V20" s="23" t="s">
        <v>129</v>
      </c>
      <c r="W20" s="23"/>
      <c r="X20" s="23">
        <v>11</v>
      </c>
      <c r="Y20" s="23" t="s">
        <v>241</v>
      </c>
      <c r="Z20" s="23" t="s">
        <v>381</v>
      </c>
      <c r="AA20" s="23" t="s">
        <v>120</v>
      </c>
      <c r="AB20" s="23" t="s">
        <v>447</v>
      </c>
      <c r="AC20" s="28" t="s">
        <v>448</v>
      </c>
      <c r="AD20" s="29">
        <v>0.48090106254711901</v>
      </c>
      <c r="AG20" s="30" t="s">
        <v>133</v>
      </c>
      <c r="AH20" s="31">
        <f>G20/AM20</f>
        <v>6536589.5953757223</v>
      </c>
      <c r="AI20" s="32" t="s">
        <v>138</v>
      </c>
      <c r="AJ20" s="28" t="s">
        <v>449</v>
      </c>
      <c r="AK20" s="28" t="s">
        <v>136</v>
      </c>
      <c r="AL20" s="33" t="s">
        <v>450</v>
      </c>
      <c r="AM20" s="31">
        <v>865</v>
      </c>
      <c r="AN20" s="32" t="s">
        <v>138</v>
      </c>
      <c r="AO20" s="34">
        <v>0.15</v>
      </c>
      <c r="AP20" s="35" t="s">
        <v>139</v>
      </c>
      <c r="AQ20" s="28" t="s">
        <v>451</v>
      </c>
      <c r="AR20" s="29" t="s">
        <v>119</v>
      </c>
      <c r="AS20" s="28" t="s">
        <v>450</v>
      </c>
    </row>
    <row r="21" spans="1:45" ht="142.5" customHeight="1">
      <c r="A21" s="54" t="s">
        <v>452</v>
      </c>
      <c r="B21" s="54" t="s">
        <v>453</v>
      </c>
      <c r="C21" s="24" t="s">
        <v>454</v>
      </c>
      <c r="D21" s="25" t="s">
        <v>115</v>
      </c>
      <c r="E21" s="23" t="s">
        <v>455</v>
      </c>
      <c r="F21" s="23" t="s">
        <v>455</v>
      </c>
      <c r="G21" s="23">
        <v>7216300000000</v>
      </c>
      <c r="H21" s="23" t="s">
        <v>456</v>
      </c>
      <c r="I21" s="26">
        <v>2.1224411764705899</v>
      </c>
      <c r="J21" s="23" t="s">
        <v>283</v>
      </c>
      <c r="K21" s="25" t="s">
        <v>120</v>
      </c>
      <c r="L21" s="23" t="s">
        <v>457</v>
      </c>
      <c r="M21" s="23"/>
      <c r="N21" s="23">
        <v>1.2</v>
      </c>
      <c r="O21" s="23" t="s">
        <v>240</v>
      </c>
      <c r="P21" s="27" t="s">
        <v>123</v>
      </c>
      <c r="Q21" s="27" t="s">
        <v>124</v>
      </c>
      <c r="R21" s="23" t="s">
        <v>152</v>
      </c>
      <c r="S21" s="23" t="s">
        <v>153</v>
      </c>
      <c r="T21" s="23" t="s">
        <v>154</v>
      </c>
      <c r="U21" s="23" t="s">
        <v>128</v>
      </c>
      <c r="V21" s="23" t="s">
        <v>155</v>
      </c>
      <c r="W21" s="23"/>
      <c r="X21" s="23">
        <v>577</v>
      </c>
      <c r="Y21" s="23" t="s">
        <v>458</v>
      </c>
      <c r="Z21" s="23" t="s">
        <v>288</v>
      </c>
      <c r="AA21" s="23" t="s">
        <v>120</v>
      </c>
      <c r="AB21" s="23" t="s">
        <v>459</v>
      </c>
      <c r="AC21" s="28" t="s">
        <v>460</v>
      </c>
      <c r="AD21" s="29">
        <v>1.99665279501847</v>
      </c>
      <c r="AG21" s="30" t="s">
        <v>133</v>
      </c>
      <c r="AH21" s="36">
        <v>2581335</v>
      </c>
      <c r="AI21" s="35" t="s">
        <v>139</v>
      </c>
      <c r="AJ21" s="28" t="s">
        <v>461</v>
      </c>
      <c r="AK21" s="28" t="s">
        <v>462</v>
      </c>
      <c r="AL21" s="33" t="s">
        <v>463</v>
      </c>
      <c r="AM21" s="36">
        <f t="shared" ref="AM21:AM27" si="0">G21/AH21</f>
        <v>2795568.9594725212</v>
      </c>
      <c r="AN21" s="35" t="s">
        <v>139</v>
      </c>
      <c r="AO21" s="34">
        <v>6.7000000000000004E-2</v>
      </c>
      <c r="AP21" s="35" t="s">
        <v>139</v>
      </c>
      <c r="AQ21" s="28" t="s">
        <v>464</v>
      </c>
      <c r="AR21" s="29" t="s">
        <v>462</v>
      </c>
      <c r="AS21" s="28" t="s">
        <v>463</v>
      </c>
    </row>
    <row r="22" spans="1:45" ht="99.75" customHeight="1">
      <c r="A22" s="23" t="s">
        <v>465</v>
      </c>
      <c r="B22" s="23" t="s">
        <v>466</v>
      </c>
      <c r="C22" s="24" t="s">
        <v>467</v>
      </c>
      <c r="D22" s="25" t="s">
        <v>115</v>
      </c>
      <c r="E22" s="23" t="s">
        <v>468</v>
      </c>
      <c r="F22" s="23" t="s">
        <v>469</v>
      </c>
      <c r="G22" s="23">
        <v>11600000000000</v>
      </c>
      <c r="H22" s="23" t="s">
        <v>470</v>
      </c>
      <c r="I22" s="26">
        <v>22.745098039215701</v>
      </c>
      <c r="J22" s="23" t="s">
        <v>148</v>
      </c>
      <c r="K22" s="25" t="s">
        <v>120</v>
      </c>
      <c r="L22" s="23" t="s">
        <v>471</v>
      </c>
      <c r="M22" s="23"/>
      <c r="N22" s="23">
        <v>8.5</v>
      </c>
      <c r="O22" s="23" t="s">
        <v>472</v>
      </c>
      <c r="P22" s="27" t="s">
        <v>123</v>
      </c>
      <c r="Q22" s="27" t="s">
        <v>124</v>
      </c>
      <c r="R22" s="23" t="s">
        <v>152</v>
      </c>
      <c r="S22" s="23" t="s">
        <v>153</v>
      </c>
      <c r="T22" s="23" t="s">
        <v>473</v>
      </c>
      <c r="U22" s="23" t="s">
        <v>128</v>
      </c>
      <c r="V22" s="23" t="s">
        <v>155</v>
      </c>
      <c r="W22" s="23"/>
      <c r="X22" s="23">
        <v>215</v>
      </c>
      <c r="Y22" s="23" t="s">
        <v>474</v>
      </c>
      <c r="Z22" s="23" t="s">
        <v>475</v>
      </c>
      <c r="AA22" s="23" t="s">
        <v>120</v>
      </c>
      <c r="AB22" s="23" t="s">
        <v>476</v>
      </c>
      <c r="AC22" s="28" t="s">
        <v>477</v>
      </c>
      <c r="AD22" s="29">
        <v>24.769284947278301</v>
      </c>
      <c r="AG22" s="43" t="s">
        <v>286</v>
      </c>
      <c r="AH22" s="36">
        <v>8100000</v>
      </c>
      <c r="AI22" s="35" t="s">
        <v>139</v>
      </c>
      <c r="AJ22" s="28" t="s">
        <v>478</v>
      </c>
      <c r="AK22" s="28" t="s">
        <v>479</v>
      </c>
      <c r="AL22" s="33" t="s">
        <v>480</v>
      </c>
      <c r="AM22" s="36">
        <f t="shared" si="0"/>
        <v>1432098.7654320989</v>
      </c>
      <c r="AN22" s="35" t="s">
        <v>139</v>
      </c>
      <c r="AO22" s="34">
        <v>0.11600000000000001</v>
      </c>
      <c r="AP22" s="35" t="s">
        <v>139</v>
      </c>
      <c r="AQ22" s="28" t="s">
        <v>481</v>
      </c>
      <c r="AR22" s="29" t="s">
        <v>479</v>
      </c>
      <c r="AS22" s="28" t="s">
        <v>480</v>
      </c>
    </row>
    <row r="23" spans="1:45" ht="142.5" customHeight="1">
      <c r="A23" s="23" t="s">
        <v>482</v>
      </c>
      <c r="B23" s="23" t="s">
        <v>483</v>
      </c>
      <c r="C23" s="24" t="s">
        <v>484</v>
      </c>
      <c r="D23" s="25" t="s">
        <v>115</v>
      </c>
      <c r="E23" s="23" t="s">
        <v>485</v>
      </c>
      <c r="F23" s="23" t="s">
        <v>486</v>
      </c>
      <c r="G23" s="23">
        <v>10838400000000</v>
      </c>
      <c r="H23" s="23" t="s">
        <v>487</v>
      </c>
      <c r="I23" s="26">
        <v>0.84675</v>
      </c>
      <c r="J23" s="23" t="s">
        <v>488</v>
      </c>
      <c r="K23" s="25" t="s">
        <v>120</v>
      </c>
      <c r="L23" s="23" t="s">
        <v>489</v>
      </c>
      <c r="M23" s="23"/>
      <c r="N23" s="23">
        <v>4</v>
      </c>
      <c r="O23" s="23" t="s">
        <v>240</v>
      </c>
      <c r="P23" s="27" t="s">
        <v>123</v>
      </c>
      <c r="Q23" s="27" t="s">
        <v>124</v>
      </c>
      <c r="R23" s="23" t="s">
        <v>125</v>
      </c>
      <c r="S23" s="23" t="s">
        <v>126</v>
      </c>
      <c r="T23" s="23" t="s">
        <v>473</v>
      </c>
      <c r="U23" s="23" t="s">
        <v>128</v>
      </c>
      <c r="V23" s="23" t="s">
        <v>129</v>
      </c>
      <c r="W23" s="23"/>
      <c r="X23" s="23">
        <v>132</v>
      </c>
      <c r="Y23" s="23" t="s">
        <v>474</v>
      </c>
      <c r="Z23" s="23" t="s">
        <v>488</v>
      </c>
      <c r="AA23" s="23" t="s">
        <v>120</v>
      </c>
      <c r="AB23" s="23" t="s">
        <v>490</v>
      </c>
      <c r="AC23" s="28" t="s">
        <v>491</v>
      </c>
      <c r="AD23" s="29">
        <v>0.91452065355772005</v>
      </c>
      <c r="AG23" s="30" t="s">
        <v>133</v>
      </c>
      <c r="AH23" s="31">
        <v>788000</v>
      </c>
      <c r="AI23" s="32" t="s">
        <v>138</v>
      </c>
      <c r="AJ23" s="28" t="s">
        <v>492</v>
      </c>
      <c r="AK23" s="28" t="s">
        <v>136</v>
      </c>
      <c r="AL23" s="33" t="s">
        <v>493</v>
      </c>
      <c r="AM23" s="31">
        <f t="shared" si="0"/>
        <v>13754314.720812183</v>
      </c>
      <c r="AN23" s="32" t="s">
        <v>138</v>
      </c>
      <c r="AO23" s="34">
        <v>2.4E-2</v>
      </c>
      <c r="AP23" s="35" t="s">
        <v>139</v>
      </c>
      <c r="AQ23" s="28" t="s">
        <v>494</v>
      </c>
      <c r="AR23" s="29" t="s">
        <v>148</v>
      </c>
      <c r="AS23" s="28" t="s">
        <v>495</v>
      </c>
    </row>
    <row r="24" spans="1:45" ht="85.5" customHeight="1">
      <c r="A24" s="23" t="s">
        <v>496</v>
      </c>
      <c r="B24" s="23" t="s">
        <v>497</v>
      </c>
      <c r="C24" s="24" t="s">
        <v>498</v>
      </c>
      <c r="D24" s="25" t="s">
        <v>115</v>
      </c>
      <c r="E24" s="23" t="s">
        <v>499</v>
      </c>
      <c r="F24" s="23" t="s">
        <v>500</v>
      </c>
      <c r="G24" s="23">
        <v>57600000000</v>
      </c>
      <c r="H24" s="23" t="s">
        <v>501</v>
      </c>
      <c r="I24" s="26">
        <v>0.66206896551724104</v>
      </c>
      <c r="J24" s="23" t="s">
        <v>157</v>
      </c>
      <c r="K24" s="27" t="s">
        <v>149</v>
      </c>
      <c r="L24" s="23" t="s">
        <v>502</v>
      </c>
      <c r="M24" s="23"/>
      <c r="N24" s="23">
        <v>1.5</v>
      </c>
      <c r="O24" s="23" t="s">
        <v>503</v>
      </c>
      <c r="P24" s="27" t="s">
        <v>123</v>
      </c>
      <c r="Q24" s="27" t="s">
        <v>124</v>
      </c>
      <c r="R24" s="23" t="s">
        <v>125</v>
      </c>
      <c r="S24" s="23" t="s">
        <v>126</v>
      </c>
      <c r="T24" s="23" t="s">
        <v>473</v>
      </c>
      <c r="U24" s="23" t="s">
        <v>128</v>
      </c>
      <c r="V24" s="23" t="s">
        <v>129</v>
      </c>
      <c r="W24" s="23"/>
      <c r="X24" s="23">
        <v>106</v>
      </c>
      <c r="Y24" s="23" t="s">
        <v>474</v>
      </c>
      <c r="Z24" s="23" t="s">
        <v>365</v>
      </c>
      <c r="AA24" s="23" t="s">
        <v>120</v>
      </c>
      <c r="AB24" s="23" t="s">
        <v>504</v>
      </c>
      <c r="AC24" s="28" t="s">
        <v>505</v>
      </c>
      <c r="AD24" s="29">
        <v>0.65847689082210803</v>
      </c>
      <c r="AG24" s="30" t="s">
        <v>133</v>
      </c>
      <c r="AH24" s="36">
        <v>567000</v>
      </c>
      <c r="AI24" s="35" t="s">
        <v>139</v>
      </c>
      <c r="AJ24" s="28" t="s">
        <v>506</v>
      </c>
      <c r="AK24" s="28" t="s">
        <v>365</v>
      </c>
      <c r="AL24" s="33" t="s">
        <v>507</v>
      </c>
      <c r="AM24" s="36">
        <f t="shared" si="0"/>
        <v>101587.30158730158</v>
      </c>
      <c r="AN24" s="35" t="s">
        <v>139</v>
      </c>
      <c r="AO24" s="38">
        <v>6.7000000000000004E-2</v>
      </c>
      <c r="AP24" s="32" t="s">
        <v>138</v>
      </c>
      <c r="AQ24" s="28" t="s">
        <v>508</v>
      </c>
      <c r="AR24" s="29" t="s">
        <v>272</v>
      </c>
      <c r="AS24" s="28" t="s">
        <v>273</v>
      </c>
    </row>
    <row r="25" spans="1:45" ht="142.5" customHeight="1">
      <c r="A25" s="23" t="s">
        <v>509</v>
      </c>
      <c r="B25" s="23" t="s">
        <v>510</v>
      </c>
      <c r="C25" s="24" t="s">
        <v>511</v>
      </c>
      <c r="D25" s="25" t="s">
        <v>115</v>
      </c>
      <c r="E25" s="23" t="s">
        <v>512</v>
      </c>
      <c r="F25" s="23" t="s">
        <v>513</v>
      </c>
      <c r="G25" s="23">
        <v>26100000000</v>
      </c>
      <c r="H25" s="23" t="s">
        <v>514</v>
      </c>
      <c r="I25" s="26">
        <v>2.8369565217391299</v>
      </c>
      <c r="J25" s="23" t="s">
        <v>283</v>
      </c>
      <c r="K25" s="25" t="s">
        <v>120</v>
      </c>
      <c r="L25" s="23" t="s">
        <v>515</v>
      </c>
      <c r="M25" s="23"/>
      <c r="N25" s="23">
        <v>0.8</v>
      </c>
      <c r="O25" s="23" t="s">
        <v>240</v>
      </c>
      <c r="P25" s="27" t="s">
        <v>123</v>
      </c>
      <c r="Q25" s="27" t="s">
        <v>124</v>
      </c>
      <c r="R25" s="23" t="s">
        <v>125</v>
      </c>
      <c r="S25" s="23" t="s">
        <v>126</v>
      </c>
      <c r="T25" s="23" t="s">
        <v>473</v>
      </c>
      <c r="U25" s="23" t="s">
        <v>128</v>
      </c>
      <c r="V25" s="23" t="s">
        <v>129</v>
      </c>
      <c r="W25" s="23"/>
      <c r="X25" s="23">
        <v>51</v>
      </c>
      <c r="Y25" s="23" t="s">
        <v>474</v>
      </c>
      <c r="Z25" s="23" t="s">
        <v>316</v>
      </c>
      <c r="AA25" s="23" t="s">
        <v>120</v>
      </c>
      <c r="AB25" s="23" t="s">
        <v>516</v>
      </c>
      <c r="AC25" s="40" t="s">
        <v>517</v>
      </c>
      <c r="AD25" s="29">
        <v>2.8278621784485098</v>
      </c>
      <c r="AG25" s="43" t="s">
        <v>286</v>
      </c>
      <c r="AH25" s="31">
        <v>1630000</v>
      </c>
      <c r="AI25" s="32" t="s">
        <v>134</v>
      </c>
      <c r="AJ25" s="28" t="s">
        <v>518</v>
      </c>
      <c r="AK25" s="28" t="s">
        <v>136</v>
      </c>
      <c r="AL25" s="33" t="s">
        <v>519</v>
      </c>
      <c r="AM25" s="31">
        <f t="shared" si="0"/>
        <v>16012.269938650306</v>
      </c>
      <c r="AN25" s="32" t="s">
        <v>134</v>
      </c>
      <c r="AO25" s="34">
        <v>0.122</v>
      </c>
      <c r="AP25" s="35" t="s">
        <v>139</v>
      </c>
      <c r="AQ25" s="28" t="s">
        <v>520</v>
      </c>
      <c r="AR25" s="29" t="s">
        <v>521</v>
      </c>
      <c r="AS25" s="28" t="s">
        <v>522</v>
      </c>
    </row>
    <row r="26" spans="1:45" ht="142.5" customHeight="1">
      <c r="A26" s="23" t="s">
        <v>523</v>
      </c>
      <c r="B26" s="23" t="s">
        <v>524</v>
      </c>
      <c r="C26" s="24" t="s">
        <v>525</v>
      </c>
      <c r="D26" s="25" t="s">
        <v>115</v>
      </c>
      <c r="E26" s="23" t="s">
        <v>526</v>
      </c>
      <c r="F26" s="23" t="s">
        <v>527</v>
      </c>
      <c r="G26" s="23">
        <v>33650000000</v>
      </c>
      <c r="H26" s="23" t="s">
        <v>528</v>
      </c>
      <c r="I26" s="26">
        <v>9.6142857142857192</v>
      </c>
      <c r="J26" s="23" t="s">
        <v>529</v>
      </c>
      <c r="K26" s="27" t="s">
        <v>149</v>
      </c>
      <c r="L26" s="23" t="s">
        <v>530</v>
      </c>
      <c r="M26" s="23"/>
      <c r="N26" s="23">
        <v>0.3</v>
      </c>
      <c r="O26" s="23" t="s">
        <v>240</v>
      </c>
      <c r="P26" s="27" t="s">
        <v>123</v>
      </c>
      <c r="Q26" s="27" t="s">
        <v>124</v>
      </c>
      <c r="R26" s="23" t="s">
        <v>152</v>
      </c>
      <c r="S26" s="23" t="s">
        <v>153</v>
      </c>
      <c r="T26" s="23" t="s">
        <v>473</v>
      </c>
      <c r="U26" s="23" t="s">
        <v>128</v>
      </c>
      <c r="V26" s="23" t="s">
        <v>155</v>
      </c>
      <c r="W26" s="23"/>
      <c r="X26" s="23"/>
      <c r="Y26" s="23"/>
      <c r="Z26" s="23"/>
      <c r="AA26" s="23"/>
      <c r="AB26" s="23"/>
      <c r="AC26" s="28" t="s">
        <v>531</v>
      </c>
      <c r="AD26" s="29">
        <v>9.6140165218230997</v>
      </c>
      <c r="AG26" s="37" t="s">
        <v>211</v>
      </c>
      <c r="AH26" s="31">
        <v>1000000</v>
      </c>
      <c r="AI26" s="32" t="s">
        <v>134</v>
      </c>
      <c r="AJ26" s="28" t="s">
        <v>532</v>
      </c>
      <c r="AK26" s="29" t="s">
        <v>136</v>
      </c>
      <c r="AL26" s="33"/>
      <c r="AM26" s="31">
        <f t="shared" si="0"/>
        <v>33650</v>
      </c>
      <c r="AN26" s="32" t="s">
        <v>134</v>
      </c>
      <c r="AO26" s="38">
        <v>6.7000000000000004E-2</v>
      </c>
      <c r="AP26" s="32" t="s">
        <v>134</v>
      </c>
      <c r="AQ26" s="28" t="s">
        <v>533</v>
      </c>
      <c r="AR26" s="29" t="s">
        <v>272</v>
      </c>
      <c r="AS26" s="28"/>
    </row>
    <row r="27" spans="1:45" ht="142.5" customHeight="1">
      <c r="A27" s="23" t="s">
        <v>534</v>
      </c>
      <c r="B27" s="23" t="s">
        <v>535</v>
      </c>
      <c r="C27" s="24" t="s">
        <v>536</v>
      </c>
      <c r="D27" s="25" t="s">
        <v>115</v>
      </c>
      <c r="E27" s="23" t="s">
        <v>537</v>
      </c>
      <c r="F27" s="23" t="s">
        <v>538</v>
      </c>
      <c r="G27" s="23">
        <v>221700000000000</v>
      </c>
      <c r="H27" s="23" t="s">
        <v>539</v>
      </c>
      <c r="I27" s="26">
        <v>54.0731707317073</v>
      </c>
      <c r="J27" s="23" t="s">
        <v>540</v>
      </c>
      <c r="K27" s="27" t="s">
        <v>149</v>
      </c>
      <c r="L27" s="23" t="s">
        <v>541</v>
      </c>
      <c r="M27" s="23"/>
      <c r="N27" s="23">
        <v>22</v>
      </c>
      <c r="O27" s="23" t="s">
        <v>240</v>
      </c>
      <c r="P27" s="27" t="s">
        <v>123</v>
      </c>
      <c r="Q27" s="27" t="s">
        <v>124</v>
      </c>
      <c r="R27" s="23" t="s">
        <v>152</v>
      </c>
      <c r="S27" s="23" t="s">
        <v>153</v>
      </c>
      <c r="T27" s="23" t="s">
        <v>362</v>
      </c>
      <c r="U27" s="23" t="s">
        <v>264</v>
      </c>
      <c r="V27" s="23" t="s">
        <v>363</v>
      </c>
      <c r="W27" s="23"/>
      <c r="X27" s="23">
        <v>19</v>
      </c>
      <c r="Y27" s="23" t="s">
        <v>174</v>
      </c>
      <c r="Z27" s="23" t="s">
        <v>381</v>
      </c>
      <c r="AA27" s="23" t="s">
        <v>120</v>
      </c>
      <c r="AB27" s="23" t="s">
        <v>542</v>
      </c>
      <c r="AC27" s="28" t="s">
        <v>543</v>
      </c>
      <c r="AD27" s="29">
        <v>70.189600200505794</v>
      </c>
      <c r="AG27" s="43" t="s">
        <v>286</v>
      </c>
      <c r="AH27" s="36">
        <v>7400000</v>
      </c>
      <c r="AI27" s="35" t="s">
        <v>139</v>
      </c>
      <c r="AJ27" s="28" t="s">
        <v>544</v>
      </c>
      <c r="AK27" s="28" t="s">
        <v>163</v>
      </c>
      <c r="AL27" s="33" t="s">
        <v>545</v>
      </c>
      <c r="AM27" s="36">
        <f t="shared" si="0"/>
        <v>29959459.459459461</v>
      </c>
      <c r="AN27" s="35" t="s">
        <v>139</v>
      </c>
      <c r="AO27" s="34">
        <v>5.0999999999999997E-2</v>
      </c>
      <c r="AP27" s="35" t="s">
        <v>139</v>
      </c>
      <c r="AQ27" s="28" t="s">
        <v>546</v>
      </c>
      <c r="AR27" s="29" t="s">
        <v>171</v>
      </c>
      <c r="AS27" s="28" t="s">
        <v>547</v>
      </c>
    </row>
    <row r="28" spans="1:45" ht="128.25" customHeight="1">
      <c r="A28" s="23" t="s">
        <v>548</v>
      </c>
      <c r="B28" s="23" t="s">
        <v>549</v>
      </c>
      <c r="C28" s="24" t="s">
        <v>550</v>
      </c>
      <c r="D28" s="25" t="s">
        <v>115</v>
      </c>
      <c r="E28" s="23" t="s">
        <v>551</v>
      </c>
      <c r="F28" s="23" t="s">
        <v>552</v>
      </c>
      <c r="G28" s="23">
        <v>21062000000000</v>
      </c>
      <c r="H28" s="23" t="s">
        <v>553</v>
      </c>
      <c r="I28" s="26">
        <v>17.551666666666701</v>
      </c>
      <c r="J28" s="23" t="s">
        <v>554</v>
      </c>
      <c r="K28" s="25" t="s">
        <v>120</v>
      </c>
      <c r="L28" s="23" t="s">
        <v>555</v>
      </c>
      <c r="M28" s="23"/>
      <c r="N28" s="23">
        <v>8</v>
      </c>
      <c r="O28" s="23" t="s">
        <v>556</v>
      </c>
      <c r="P28" s="27" t="s">
        <v>123</v>
      </c>
      <c r="Q28" s="27" t="s">
        <v>124</v>
      </c>
      <c r="R28" s="23" t="s">
        <v>152</v>
      </c>
      <c r="S28" s="23" t="s">
        <v>153</v>
      </c>
      <c r="T28" s="23" t="s">
        <v>362</v>
      </c>
      <c r="U28" s="23" t="s">
        <v>128</v>
      </c>
      <c r="V28" s="23" t="s">
        <v>155</v>
      </c>
      <c r="W28" s="23"/>
      <c r="X28" s="23">
        <v>585</v>
      </c>
      <c r="Y28" s="23" t="s">
        <v>557</v>
      </c>
      <c r="Z28" s="23" t="s">
        <v>316</v>
      </c>
      <c r="AA28" s="23" t="s">
        <v>120</v>
      </c>
      <c r="AB28" s="23" t="s">
        <v>558</v>
      </c>
      <c r="AC28" s="28" t="s">
        <v>559</v>
      </c>
      <c r="AD28" s="29">
        <v>14.055993734798699</v>
      </c>
      <c r="AG28" s="37" t="s">
        <v>211</v>
      </c>
      <c r="AH28" s="36">
        <v>11900000</v>
      </c>
      <c r="AI28" s="35" t="s">
        <v>139</v>
      </c>
      <c r="AJ28" s="28" t="s">
        <v>560</v>
      </c>
      <c r="AK28" s="28" t="s">
        <v>148</v>
      </c>
      <c r="AL28" s="33" t="s">
        <v>561</v>
      </c>
      <c r="AM28" s="31">
        <v>4100000</v>
      </c>
      <c r="AN28" s="32" t="s">
        <v>138</v>
      </c>
      <c r="AO28" s="34">
        <v>0.159</v>
      </c>
      <c r="AP28" s="35" t="s">
        <v>139</v>
      </c>
      <c r="AQ28" s="28" t="s">
        <v>562</v>
      </c>
      <c r="AR28" s="29" t="s">
        <v>563</v>
      </c>
      <c r="AS28" s="28" t="s">
        <v>564</v>
      </c>
    </row>
    <row r="29" spans="1:45" ht="99.75" customHeight="1">
      <c r="A29" s="23" t="s">
        <v>565</v>
      </c>
      <c r="B29" s="23" t="s">
        <v>566</v>
      </c>
      <c r="C29" s="24" t="s">
        <v>567</v>
      </c>
      <c r="D29" s="25" t="s">
        <v>115</v>
      </c>
      <c r="E29" s="23" t="s">
        <v>568</v>
      </c>
      <c r="F29" s="23" t="s">
        <v>569</v>
      </c>
      <c r="G29" s="23">
        <v>114292000000</v>
      </c>
      <c r="H29" s="23" t="s">
        <v>570</v>
      </c>
      <c r="I29" s="26">
        <v>30.889729729729702</v>
      </c>
      <c r="J29" s="23" t="s">
        <v>189</v>
      </c>
      <c r="K29" s="25" t="s">
        <v>120</v>
      </c>
      <c r="L29" s="23" t="s">
        <v>571</v>
      </c>
      <c r="M29" s="23"/>
      <c r="N29" s="23">
        <v>14</v>
      </c>
      <c r="O29" s="23" t="s">
        <v>572</v>
      </c>
      <c r="P29" s="27" t="s">
        <v>123</v>
      </c>
      <c r="Q29" s="27" t="s">
        <v>124</v>
      </c>
      <c r="R29" s="23" t="s">
        <v>152</v>
      </c>
      <c r="S29" s="23" t="s">
        <v>153</v>
      </c>
      <c r="T29" s="23" t="s">
        <v>362</v>
      </c>
      <c r="U29" s="23" t="s">
        <v>128</v>
      </c>
      <c r="V29" s="23" t="s">
        <v>155</v>
      </c>
      <c r="W29" s="23"/>
      <c r="X29" s="23">
        <v>7</v>
      </c>
      <c r="Y29" s="23" t="s">
        <v>241</v>
      </c>
      <c r="Z29" s="23" t="s">
        <v>283</v>
      </c>
      <c r="AA29" s="23" t="s">
        <v>120</v>
      </c>
      <c r="AB29" s="23" t="s">
        <v>573</v>
      </c>
      <c r="AC29" s="28" t="s">
        <v>574</v>
      </c>
      <c r="AD29" s="29">
        <v>33.778094598880003</v>
      </c>
      <c r="AG29" s="43" t="s">
        <v>286</v>
      </c>
      <c r="AH29" s="36">
        <v>5400000</v>
      </c>
      <c r="AI29" s="35" t="s">
        <v>139</v>
      </c>
      <c r="AJ29" s="28" t="s">
        <v>575</v>
      </c>
      <c r="AK29" s="28" t="s">
        <v>576</v>
      </c>
      <c r="AL29" s="33" t="s">
        <v>577</v>
      </c>
      <c r="AM29" s="36">
        <f>G29/AH29</f>
        <v>21165.185185185186</v>
      </c>
      <c r="AN29" s="35" t="s">
        <v>139</v>
      </c>
      <c r="AO29" s="34">
        <v>4.1000000000000002E-2</v>
      </c>
      <c r="AP29" s="35" t="s">
        <v>139</v>
      </c>
      <c r="AQ29" s="28" t="s">
        <v>578</v>
      </c>
      <c r="AR29" s="29" t="s">
        <v>193</v>
      </c>
      <c r="AS29" s="28" t="s">
        <v>579</v>
      </c>
    </row>
    <row r="30" spans="1:45" ht="99.75" customHeight="1">
      <c r="A30" s="23" t="s">
        <v>580</v>
      </c>
      <c r="B30" s="23" t="s">
        <v>581</v>
      </c>
      <c r="C30" s="24" t="s">
        <v>582</v>
      </c>
      <c r="D30" s="25" t="s">
        <v>115</v>
      </c>
      <c r="E30" s="23" t="s">
        <v>583</v>
      </c>
      <c r="F30" s="23" t="s">
        <v>584</v>
      </c>
      <c r="G30" s="23">
        <v>21536300000000</v>
      </c>
      <c r="H30" s="23" t="s">
        <v>585</v>
      </c>
      <c r="I30" s="26">
        <v>22.669789473684201</v>
      </c>
      <c r="J30" s="23" t="s">
        <v>586</v>
      </c>
      <c r="K30" s="25" t="s">
        <v>120</v>
      </c>
      <c r="L30" s="23" t="s">
        <v>587</v>
      </c>
      <c r="M30" s="23"/>
      <c r="N30" s="23">
        <v>28</v>
      </c>
      <c r="O30" s="23" t="s">
        <v>588</v>
      </c>
      <c r="P30" s="27" t="s">
        <v>123</v>
      </c>
      <c r="Q30" s="27" t="s">
        <v>124</v>
      </c>
      <c r="R30" s="23" t="s">
        <v>262</v>
      </c>
      <c r="S30" s="23" t="s">
        <v>263</v>
      </c>
      <c r="T30" s="23" t="s">
        <v>362</v>
      </c>
      <c r="U30" s="23" t="s">
        <v>264</v>
      </c>
      <c r="V30" s="23" t="s">
        <v>589</v>
      </c>
      <c r="W30" s="23"/>
      <c r="X30" s="23">
        <v>7</v>
      </c>
      <c r="Y30" s="23" t="s">
        <v>590</v>
      </c>
      <c r="Z30" s="23" t="s">
        <v>381</v>
      </c>
      <c r="AA30" s="23" t="s">
        <v>120</v>
      </c>
      <c r="AB30" s="23" t="s">
        <v>591</v>
      </c>
      <c r="AC30" s="28" t="s">
        <v>592</v>
      </c>
      <c r="AD30" s="29">
        <v>23.565309510091499</v>
      </c>
      <c r="AG30" s="37" t="s">
        <v>211</v>
      </c>
      <c r="AH30" s="36">
        <v>6100000</v>
      </c>
      <c r="AI30" s="35" t="s">
        <v>139</v>
      </c>
      <c r="AJ30" s="28" t="s">
        <v>593</v>
      </c>
      <c r="AK30" s="28" t="s">
        <v>193</v>
      </c>
      <c r="AL30" s="33" t="s">
        <v>594</v>
      </c>
      <c r="AM30" s="31">
        <v>1159275</v>
      </c>
      <c r="AN30" s="32" t="s">
        <v>138</v>
      </c>
      <c r="AO30" s="34">
        <v>2.3800000000000002E-2</v>
      </c>
      <c r="AP30" s="35" t="s">
        <v>139</v>
      </c>
      <c r="AQ30" s="28" t="s">
        <v>595</v>
      </c>
      <c r="AR30" s="29" t="s">
        <v>563</v>
      </c>
      <c r="AS30" s="28" t="s">
        <v>596</v>
      </c>
    </row>
    <row r="31" spans="1:45" ht="99.75">
      <c r="A31" s="23" t="s">
        <v>597</v>
      </c>
      <c r="B31" s="23" t="s">
        <v>598</v>
      </c>
      <c r="C31" s="24" t="s">
        <v>599</v>
      </c>
      <c r="D31" s="25" t="s">
        <v>115</v>
      </c>
      <c r="E31" s="23" t="s">
        <v>600</v>
      </c>
      <c r="F31" s="23" t="s">
        <v>601</v>
      </c>
      <c r="G31" s="23">
        <v>96300000000</v>
      </c>
      <c r="H31" s="23" t="s">
        <v>602</v>
      </c>
      <c r="I31" s="26">
        <v>2.0062500000000001</v>
      </c>
      <c r="J31" s="23" t="s">
        <v>148</v>
      </c>
      <c r="K31" s="27" t="s">
        <v>149</v>
      </c>
      <c r="L31" s="23" t="s">
        <v>603</v>
      </c>
      <c r="M31" s="23"/>
      <c r="N31" s="23">
        <v>9</v>
      </c>
      <c r="O31" s="23" t="s">
        <v>604</v>
      </c>
      <c r="P31" s="27" t="s">
        <v>123</v>
      </c>
      <c r="Q31" s="27" t="s">
        <v>124</v>
      </c>
      <c r="R31" s="23" t="s">
        <v>125</v>
      </c>
      <c r="S31" s="23" t="s">
        <v>126</v>
      </c>
      <c r="T31" s="23" t="s">
        <v>332</v>
      </c>
      <c r="U31" s="23" t="s">
        <v>128</v>
      </c>
      <c r="V31" s="23" t="s">
        <v>129</v>
      </c>
      <c r="W31" s="23"/>
      <c r="X31" s="23">
        <v>48</v>
      </c>
      <c r="Y31" s="23" t="s">
        <v>605</v>
      </c>
      <c r="Z31" s="23" t="s">
        <v>148</v>
      </c>
      <c r="AA31" s="23" t="s">
        <v>149</v>
      </c>
      <c r="AB31" s="23" t="s">
        <v>606</v>
      </c>
      <c r="AC31" s="40" t="s">
        <v>607</v>
      </c>
      <c r="AD31" s="29">
        <v>1.93305010435761</v>
      </c>
      <c r="AG31" s="30" t="s">
        <v>133</v>
      </c>
      <c r="AH31" s="36">
        <v>1200000</v>
      </c>
      <c r="AI31" s="35" t="s">
        <v>139</v>
      </c>
      <c r="AJ31" s="28" t="s">
        <v>608</v>
      </c>
      <c r="AK31" s="28" t="s">
        <v>385</v>
      </c>
      <c r="AL31" s="33" t="s">
        <v>606</v>
      </c>
      <c r="AM31" s="31">
        <v>7080</v>
      </c>
      <c r="AN31" s="32" t="s">
        <v>138</v>
      </c>
      <c r="AO31" s="38">
        <v>3.5000000000000003E-2</v>
      </c>
      <c r="AP31" s="32" t="s">
        <v>138</v>
      </c>
      <c r="AQ31" s="28" t="s">
        <v>609</v>
      </c>
      <c r="AR31" s="29" t="s">
        <v>148</v>
      </c>
      <c r="AS31" s="28" t="s">
        <v>610</v>
      </c>
    </row>
    <row r="32" spans="1:45" ht="99.75" customHeight="1">
      <c r="A32" s="23" t="s">
        <v>611</v>
      </c>
      <c r="B32" s="23" t="s">
        <v>612</v>
      </c>
      <c r="C32" s="24" t="s">
        <v>613</v>
      </c>
      <c r="D32" s="25" t="s">
        <v>115</v>
      </c>
      <c r="E32" s="23" t="s">
        <v>614</v>
      </c>
      <c r="F32" s="23" t="s">
        <v>615</v>
      </c>
      <c r="G32" s="23">
        <v>99000000000</v>
      </c>
      <c r="H32" s="23" t="s">
        <v>616</v>
      </c>
      <c r="I32" s="26">
        <v>10.1020408163265</v>
      </c>
      <c r="J32" s="23" t="s">
        <v>148</v>
      </c>
      <c r="K32" s="25" t="s">
        <v>120</v>
      </c>
      <c r="L32" s="23" t="s">
        <v>617</v>
      </c>
      <c r="M32" s="23" t="s">
        <v>618</v>
      </c>
      <c r="N32" s="23">
        <v>12</v>
      </c>
      <c r="O32" s="23" t="s">
        <v>619</v>
      </c>
      <c r="P32" s="27" t="s">
        <v>123</v>
      </c>
      <c r="Q32" s="27" t="s">
        <v>124</v>
      </c>
      <c r="R32" s="23" t="s">
        <v>125</v>
      </c>
      <c r="S32" s="23" t="s">
        <v>126</v>
      </c>
      <c r="T32" s="23" t="s">
        <v>332</v>
      </c>
      <c r="U32" s="23" t="s">
        <v>128</v>
      </c>
      <c r="V32" s="23" t="s">
        <v>129</v>
      </c>
      <c r="W32" s="23"/>
      <c r="X32" s="23">
        <v>30</v>
      </c>
      <c r="Y32" s="23" t="s">
        <v>174</v>
      </c>
      <c r="Z32" s="23" t="s">
        <v>283</v>
      </c>
      <c r="AA32" s="23" t="s">
        <v>120</v>
      </c>
      <c r="AB32" s="23" t="s">
        <v>620</v>
      </c>
      <c r="AC32" s="28" t="s">
        <v>621</v>
      </c>
      <c r="AD32" s="29">
        <v>10.639110725094101</v>
      </c>
      <c r="AG32" s="30" t="s">
        <v>133</v>
      </c>
      <c r="AH32" s="31">
        <f>G32/AM32</f>
        <v>1242158.0928481808</v>
      </c>
      <c r="AI32" s="32" t="s">
        <v>138</v>
      </c>
      <c r="AJ32" s="28" t="s">
        <v>622</v>
      </c>
      <c r="AK32" s="28" t="s">
        <v>136</v>
      </c>
      <c r="AL32" s="33" t="s">
        <v>623</v>
      </c>
      <c r="AM32" s="31">
        <v>79700</v>
      </c>
      <c r="AN32" s="32" t="s">
        <v>138</v>
      </c>
      <c r="AO32" s="34">
        <v>0.113</v>
      </c>
      <c r="AP32" s="35" t="s">
        <v>139</v>
      </c>
      <c r="AQ32" s="28" t="s">
        <v>624</v>
      </c>
      <c r="AR32" s="29" t="s">
        <v>249</v>
      </c>
      <c r="AS32" s="28" t="s">
        <v>623</v>
      </c>
    </row>
    <row r="33" spans="1:45" ht="85.5" customHeight="1">
      <c r="A33" s="23" t="s">
        <v>625</v>
      </c>
      <c r="B33" s="23" t="s">
        <v>626</v>
      </c>
      <c r="C33" s="24" t="s">
        <v>627</v>
      </c>
      <c r="D33" s="44" t="s">
        <v>628</v>
      </c>
      <c r="E33" s="23"/>
      <c r="F33" s="23"/>
      <c r="G33" s="23"/>
      <c r="H33" s="23"/>
      <c r="I33" s="23"/>
      <c r="J33" s="23"/>
      <c r="K33" s="23"/>
      <c r="L33" s="23"/>
      <c r="M33" s="23"/>
      <c r="N33" s="23">
        <v>3</v>
      </c>
      <c r="O33" s="23" t="s">
        <v>503</v>
      </c>
      <c r="P33" s="27" t="s">
        <v>123</v>
      </c>
      <c r="Q33" s="27" t="s">
        <v>124</v>
      </c>
      <c r="R33" s="23" t="s">
        <v>152</v>
      </c>
      <c r="S33" s="23" t="s">
        <v>153</v>
      </c>
      <c r="T33" s="23" t="s">
        <v>332</v>
      </c>
      <c r="U33" s="23" t="s">
        <v>128</v>
      </c>
      <c r="V33" s="23" t="s">
        <v>155</v>
      </c>
      <c r="W33" s="23"/>
      <c r="X33" s="23">
        <v>8</v>
      </c>
      <c r="Y33" s="23" t="s">
        <v>629</v>
      </c>
      <c r="Z33" s="23" t="s">
        <v>630</v>
      </c>
      <c r="AA33" s="23" t="s">
        <v>120</v>
      </c>
      <c r="AB33" s="23" t="s">
        <v>631</v>
      </c>
      <c r="AC33" s="28" t="s">
        <v>632</v>
      </c>
      <c r="AG33" s="29" t="s">
        <v>633</v>
      </c>
    </row>
    <row r="34" spans="1:45" ht="142.5" customHeight="1">
      <c r="A34" s="23" t="s">
        <v>634</v>
      </c>
      <c r="B34" s="23" t="s">
        <v>635</v>
      </c>
      <c r="C34" s="24" t="s">
        <v>636</v>
      </c>
      <c r="D34" s="25" t="s">
        <v>115</v>
      </c>
      <c r="E34" s="23" t="s">
        <v>637</v>
      </c>
      <c r="F34" s="23" t="s">
        <v>638</v>
      </c>
      <c r="G34" s="23">
        <v>4469515000</v>
      </c>
      <c r="H34" s="23" t="s">
        <v>639</v>
      </c>
      <c r="I34" s="26">
        <v>1.4417790322580699</v>
      </c>
      <c r="J34" s="23" t="s">
        <v>226</v>
      </c>
      <c r="K34" s="25" t="s">
        <v>120</v>
      </c>
      <c r="L34" s="23" t="s">
        <v>640</v>
      </c>
      <c r="M34" s="23"/>
      <c r="N34" s="23">
        <v>4.5</v>
      </c>
      <c r="O34" s="23" t="s">
        <v>240</v>
      </c>
      <c r="P34" s="27" t="s">
        <v>123</v>
      </c>
      <c r="Q34" s="27" t="s">
        <v>124</v>
      </c>
      <c r="R34" s="23" t="s">
        <v>125</v>
      </c>
      <c r="S34" s="23" t="s">
        <v>126</v>
      </c>
      <c r="T34" s="23" t="s">
        <v>332</v>
      </c>
      <c r="U34" s="23" t="s">
        <v>128</v>
      </c>
      <c r="V34" s="23" t="s">
        <v>129</v>
      </c>
      <c r="W34" s="23"/>
      <c r="X34" s="23">
        <v>8</v>
      </c>
      <c r="Y34" s="23" t="s">
        <v>641</v>
      </c>
      <c r="Z34" s="23" t="s">
        <v>445</v>
      </c>
      <c r="AA34" s="23" t="s">
        <v>120</v>
      </c>
      <c r="AB34" s="23" t="s">
        <v>642</v>
      </c>
      <c r="AC34" s="28" t="s">
        <v>643</v>
      </c>
      <c r="AD34" s="29">
        <v>1.5310034435901001</v>
      </c>
      <c r="AG34" s="30" t="s">
        <v>133</v>
      </c>
      <c r="AH34" s="31">
        <f>G34/AM34</f>
        <v>1229577.7166437414</v>
      </c>
      <c r="AI34" s="32" t="s">
        <v>134</v>
      </c>
      <c r="AJ34" s="28" t="s">
        <v>160</v>
      </c>
      <c r="AK34" s="28" t="s">
        <v>136</v>
      </c>
      <c r="AL34" s="33" t="s">
        <v>644</v>
      </c>
      <c r="AM34" s="31">
        <v>3635</v>
      </c>
      <c r="AN34" s="32" t="s">
        <v>134</v>
      </c>
      <c r="AO34" s="34">
        <v>8.8999999999999996E-2</v>
      </c>
      <c r="AP34" s="35" t="s">
        <v>139</v>
      </c>
      <c r="AQ34" s="28" t="s">
        <v>645</v>
      </c>
      <c r="AR34" s="29" t="s">
        <v>646</v>
      </c>
      <c r="AS34" s="28" t="s">
        <v>644</v>
      </c>
    </row>
    <row r="35" spans="1:45" ht="85.5" customHeight="1">
      <c r="A35" s="23" t="s">
        <v>647</v>
      </c>
      <c r="B35" s="23" t="s">
        <v>648</v>
      </c>
      <c r="C35" s="24" t="s">
        <v>649</v>
      </c>
      <c r="D35" s="25" t="s">
        <v>115</v>
      </c>
      <c r="E35" s="23" t="s">
        <v>650</v>
      </c>
      <c r="F35" s="23" t="s">
        <v>651</v>
      </c>
      <c r="G35" s="23">
        <v>17108000000</v>
      </c>
      <c r="H35" s="23" t="s">
        <v>652</v>
      </c>
      <c r="I35" s="26">
        <v>3.0727230274619699</v>
      </c>
      <c r="J35" s="23" t="s">
        <v>283</v>
      </c>
      <c r="K35" s="25" t="s">
        <v>120</v>
      </c>
      <c r="L35" s="23" t="s">
        <v>653</v>
      </c>
      <c r="M35" s="23"/>
      <c r="N35" s="23">
        <v>0.4</v>
      </c>
      <c r="O35" s="23" t="s">
        <v>503</v>
      </c>
      <c r="P35" s="27" t="s">
        <v>123</v>
      </c>
      <c r="Q35" s="27" t="s">
        <v>124</v>
      </c>
      <c r="R35" s="23" t="s">
        <v>152</v>
      </c>
      <c r="S35" s="23" t="s">
        <v>153</v>
      </c>
      <c r="T35" s="23" t="s">
        <v>332</v>
      </c>
      <c r="U35" s="23" t="s">
        <v>128</v>
      </c>
      <c r="V35" s="23" t="s">
        <v>155</v>
      </c>
      <c r="W35" s="23"/>
      <c r="X35" s="23"/>
      <c r="Y35" s="23"/>
      <c r="Z35" s="23"/>
      <c r="AA35" s="23"/>
      <c r="AB35" s="23"/>
      <c r="AC35" s="40" t="s">
        <v>654</v>
      </c>
      <c r="AD35" s="29">
        <v>2.6893104468424198</v>
      </c>
      <c r="AG35" s="37" t="s">
        <v>211</v>
      </c>
      <c r="AH35" s="31">
        <f>G35/AM35</f>
        <v>1900677.7024775024</v>
      </c>
      <c r="AI35" s="32" t="s">
        <v>134</v>
      </c>
      <c r="AJ35" s="28" t="s">
        <v>160</v>
      </c>
      <c r="AK35" s="29" t="s">
        <v>136</v>
      </c>
      <c r="AL35" s="33"/>
      <c r="AM35" s="31">
        <v>9001</v>
      </c>
      <c r="AN35" s="32" t="s">
        <v>134</v>
      </c>
      <c r="AO35" s="38">
        <v>0.192</v>
      </c>
      <c r="AP35" s="32" t="s">
        <v>138</v>
      </c>
      <c r="AQ35" s="28" t="s">
        <v>655</v>
      </c>
      <c r="AR35" s="29" t="s">
        <v>163</v>
      </c>
      <c r="AS35" s="28" t="s">
        <v>656</v>
      </c>
    </row>
    <row r="36" spans="1:45" ht="171">
      <c r="A36" s="23" t="s">
        <v>657</v>
      </c>
      <c r="B36" s="23" t="s">
        <v>658</v>
      </c>
      <c r="C36" s="24" t="s">
        <v>659</v>
      </c>
      <c r="D36" s="44" t="s">
        <v>628</v>
      </c>
      <c r="E36" s="23"/>
      <c r="F36" s="23"/>
      <c r="G36" s="23"/>
      <c r="H36" s="23"/>
      <c r="I36" s="23"/>
      <c r="J36" s="23"/>
      <c r="K36" s="23"/>
      <c r="L36" s="23"/>
      <c r="M36" s="23"/>
      <c r="N36" s="23">
        <v>0.3</v>
      </c>
      <c r="O36" s="23" t="s">
        <v>503</v>
      </c>
      <c r="P36" s="27" t="s">
        <v>123</v>
      </c>
      <c r="Q36" s="27" t="s">
        <v>124</v>
      </c>
      <c r="R36" s="23" t="s">
        <v>660</v>
      </c>
      <c r="S36" s="23" t="s">
        <v>661</v>
      </c>
      <c r="T36" s="23" t="s">
        <v>398</v>
      </c>
      <c r="U36" s="23" t="s">
        <v>128</v>
      </c>
      <c r="V36" s="23" t="s">
        <v>662</v>
      </c>
      <c r="W36" s="23"/>
      <c r="X36" s="23">
        <v>51</v>
      </c>
      <c r="Y36" s="23" t="s">
        <v>663</v>
      </c>
      <c r="Z36" s="23" t="s">
        <v>664</v>
      </c>
      <c r="AA36" s="23" t="s">
        <v>149</v>
      </c>
      <c r="AB36" s="23" t="s">
        <v>665</v>
      </c>
      <c r="AC36" s="28" t="s">
        <v>666</v>
      </c>
      <c r="AG36" s="29" t="s">
        <v>633</v>
      </c>
    </row>
    <row r="37" spans="1:45" ht="156.75" customHeight="1">
      <c r="A37" s="23" t="s">
        <v>667</v>
      </c>
      <c r="B37" s="23" t="s">
        <v>668</v>
      </c>
      <c r="C37" s="24" t="s">
        <v>669</v>
      </c>
      <c r="D37" s="25" t="s">
        <v>115</v>
      </c>
      <c r="E37" s="23" t="s">
        <v>670</v>
      </c>
      <c r="F37" s="23" t="s">
        <v>671</v>
      </c>
      <c r="G37" s="23">
        <v>102700000000</v>
      </c>
      <c r="H37" s="23" t="s">
        <v>672</v>
      </c>
      <c r="I37" s="26">
        <v>27.386666666666699</v>
      </c>
      <c r="J37" s="23" t="s">
        <v>288</v>
      </c>
      <c r="K37" s="25" t="s">
        <v>120</v>
      </c>
      <c r="L37" s="23" t="s">
        <v>673</v>
      </c>
      <c r="M37" s="23" t="s">
        <v>674</v>
      </c>
      <c r="N37" s="23">
        <v>55</v>
      </c>
      <c r="O37" s="23" t="s">
        <v>675</v>
      </c>
      <c r="P37" s="27" t="s">
        <v>123</v>
      </c>
      <c r="Q37" s="27" t="s">
        <v>124</v>
      </c>
      <c r="R37" s="23" t="s">
        <v>262</v>
      </c>
      <c r="S37" s="23" t="s">
        <v>263</v>
      </c>
      <c r="T37" s="23" t="s">
        <v>332</v>
      </c>
      <c r="U37" s="23" t="s">
        <v>128</v>
      </c>
      <c r="V37" s="23" t="s">
        <v>676</v>
      </c>
      <c r="W37" s="23"/>
      <c r="X37" s="23">
        <v>78</v>
      </c>
      <c r="Y37" s="23" t="s">
        <v>677</v>
      </c>
      <c r="Z37" s="23" t="s">
        <v>678</v>
      </c>
      <c r="AA37" s="23" t="s">
        <v>149</v>
      </c>
      <c r="AB37" s="23" t="s">
        <v>679</v>
      </c>
      <c r="AC37" s="28" t="s">
        <v>680</v>
      </c>
      <c r="AD37" s="29">
        <v>27.386666666666699</v>
      </c>
      <c r="AG37" s="30" t="s">
        <v>133</v>
      </c>
      <c r="AH37" s="31">
        <v>2000000</v>
      </c>
      <c r="AI37" s="32" t="s">
        <v>138</v>
      </c>
      <c r="AJ37" s="28" t="s">
        <v>681</v>
      </c>
      <c r="AK37" s="28" t="s">
        <v>136</v>
      </c>
      <c r="AL37" s="33" t="s">
        <v>493</v>
      </c>
      <c r="AM37" s="31">
        <f t="shared" ref="AM37:AM43" si="1">G37/AH37</f>
        <v>51350</v>
      </c>
      <c r="AN37" s="32" t="s">
        <v>138</v>
      </c>
      <c r="AO37" s="34">
        <v>5.8999999999999997E-2</v>
      </c>
      <c r="AP37" s="35" t="s">
        <v>139</v>
      </c>
      <c r="AQ37" s="28" t="s">
        <v>682</v>
      </c>
      <c r="AR37" s="29" t="s">
        <v>163</v>
      </c>
      <c r="AS37" s="28" t="s">
        <v>683</v>
      </c>
    </row>
    <row r="38" spans="1:45" ht="156.75" customHeight="1">
      <c r="A38" s="23" t="s">
        <v>35</v>
      </c>
      <c r="B38" s="23" t="s">
        <v>684</v>
      </c>
      <c r="C38" s="24" t="s">
        <v>685</v>
      </c>
      <c r="D38" s="25" t="s">
        <v>115</v>
      </c>
      <c r="E38" s="23" t="s">
        <v>686</v>
      </c>
      <c r="F38" s="23" t="s">
        <v>687</v>
      </c>
      <c r="G38" s="23">
        <v>567900000000</v>
      </c>
      <c r="H38" s="23" t="s">
        <v>688</v>
      </c>
      <c r="I38" s="26">
        <v>154.63580667120499</v>
      </c>
      <c r="J38" s="23" t="s">
        <v>148</v>
      </c>
      <c r="K38" s="25" t="s">
        <v>120</v>
      </c>
      <c r="L38" s="23" t="s">
        <v>689</v>
      </c>
      <c r="M38" s="23" t="s">
        <v>690</v>
      </c>
      <c r="N38" s="23">
        <v>45</v>
      </c>
      <c r="O38" s="23" t="s">
        <v>691</v>
      </c>
      <c r="P38" s="27" t="s">
        <v>123</v>
      </c>
      <c r="Q38" s="27" t="s">
        <v>124</v>
      </c>
      <c r="R38" s="23" t="s">
        <v>262</v>
      </c>
      <c r="S38" s="23" t="s">
        <v>263</v>
      </c>
      <c r="T38" s="23" t="s">
        <v>332</v>
      </c>
      <c r="U38" s="23" t="s">
        <v>128</v>
      </c>
      <c r="V38" s="23" t="s">
        <v>676</v>
      </c>
      <c r="W38" s="23"/>
      <c r="X38" s="23">
        <v>21</v>
      </c>
      <c r="Y38" s="23" t="s">
        <v>692</v>
      </c>
      <c r="Z38" s="23" t="s">
        <v>189</v>
      </c>
      <c r="AA38" s="23" t="s">
        <v>120</v>
      </c>
      <c r="AB38" s="23" t="s">
        <v>693</v>
      </c>
      <c r="AC38" s="28" t="s">
        <v>694</v>
      </c>
      <c r="AD38" s="29">
        <v>154.63580667120499</v>
      </c>
      <c r="AG38" s="37" t="s">
        <v>211</v>
      </c>
      <c r="AH38" s="31">
        <v>2074000</v>
      </c>
      <c r="AI38" s="32" t="s">
        <v>138</v>
      </c>
      <c r="AJ38" s="28" t="s">
        <v>695</v>
      </c>
      <c r="AK38" s="28" t="s">
        <v>696</v>
      </c>
      <c r="AL38" s="33" t="s">
        <v>697</v>
      </c>
      <c r="AM38" s="31">
        <f t="shared" si="1"/>
        <v>273818.70781099325</v>
      </c>
      <c r="AN38" s="32" t="s">
        <v>138</v>
      </c>
      <c r="AO38" s="38">
        <v>4.7E-2</v>
      </c>
      <c r="AP38" s="32" t="s">
        <v>138</v>
      </c>
      <c r="AQ38" s="28" t="s">
        <v>698</v>
      </c>
      <c r="AR38" s="29" t="s">
        <v>163</v>
      </c>
      <c r="AS38" s="28" t="s">
        <v>699</v>
      </c>
    </row>
    <row r="39" spans="1:45" ht="99.75" customHeight="1">
      <c r="A39" s="23" t="s">
        <v>700</v>
      </c>
      <c r="B39" s="23" t="s">
        <v>701</v>
      </c>
      <c r="C39" s="24" t="s">
        <v>702</v>
      </c>
      <c r="D39" s="25" t="s">
        <v>115</v>
      </c>
      <c r="E39" s="23" t="s">
        <v>703</v>
      </c>
      <c r="F39" s="23" t="s">
        <v>704</v>
      </c>
      <c r="G39" s="23">
        <f>AE39-AF39</f>
        <v>3009600000</v>
      </c>
      <c r="H39" s="23" t="s">
        <v>310</v>
      </c>
      <c r="I39" s="26">
        <v>7.9830238726790501</v>
      </c>
      <c r="J39" s="23" t="s">
        <v>193</v>
      </c>
      <c r="K39" s="25" t="s">
        <v>120</v>
      </c>
      <c r="L39" s="23" t="s">
        <v>705</v>
      </c>
      <c r="M39" s="23"/>
      <c r="N39" s="23">
        <v>4</v>
      </c>
      <c r="O39" s="23" t="s">
        <v>706</v>
      </c>
      <c r="P39" s="27" t="s">
        <v>123</v>
      </c>
      <c r="Q39" s="27" t="s">
        <v>124</v>
      </c>
      <c r="R39" s="23" t="s">
        <v>262</v>
      </c>
      <c r="S39" s="23" t="s">
        <v>263</v>
      </c>
      <c r="T39" s="23" t="s">
        <v>332</v>
      </c>
      <c r="U39" s="23" t="s">
        <v>128</v>
      </c>
      <c r="V39" s="23" t="s">
        <v>676</v>
      </c>
      <c r="W39" s="23"/>
      <c r="X39" s="23">
        <v>7</v>
      </c>
      <c r="Y39" s="23" t="s">
        <v>707</v>
      </c>
      <c r="Z39" s="23" t="s">
        <v>708</v>
      </c>
      <c r="AA39" s="23" t="s">
        <v>120</v>
      </c>
      <c r="AB39" s="23" t="s">
        <v>709</v>
      </c>
      <c r="AC39" s="40" t="s">
        <v>710</v>
      </c>
      <c r="AD39" s="29">
        <v>8.0042553191489407</v>
      </c>
      <c r="AE39" s="41">
        <v>6103500000</v>
      </c>
      <c r="AF39" s="41">
        <v>3093900000</v>
      </c>
      <c r="AG39" s="37" t="s">
        <v>211</v>
      </c>
      <c r="AH39" s="31">
        <v>350000</v>
      </c>
      <c r="AI39" s="32" t="s">
        <v>134</v>
      </c>
      <c r="AJ39" s="28" t="s">
        <v>711</v>
      </c>
      <c r="AK39" s="29" t="s">
        <v>136</v>
      </c>
      <c r="AL39" s="33"/>
      <c r="AM39" s="31">
        <f t="shared" si="1"/>
        <v>8598.8571428571431</v>
      </c>
      <c r="AN39" s="32" t="s">
        <v>134</v>
      </c>
      <c r="AO39" s="34">
        <v>2.9000000000000001E-2</v>
      </c>
      <c r="AP39" s="35" t="s">
        <v>139</v>
      </c>
      <c r="AQ39" s="28" t="s">
        <v>712</v>
      </c>
      <c r="AR39" s="29" t="s">
        <v>713</v>
      </c>
      <c r="AS39" s="28" t="s">
        <v>705</v>
      </c>
    </row>
    <row r="40" spans="1:45" ht="270.75" customHeight="1">
      <c r="A40" s="23" t="s">
        <v>714</v>
      </c>
      <c r="B40" s="23" t="s">
        <v>715</v>
      </c>
      <c r="C40" s="24" t="s">
        <v>716</v>
      </c>
      <c r="D40" s="25" t="s">
        <v>115</v>
      </c>
      <c r="E40" s="23" t="s">
        <v>650</v>
      </c>
      <c r="F40" s="23" t="s">
        <v>703</v>
      </c>
      <c r="G40" s="23">
        <v>114700000000</v>
      </c>
      <c r="H40" s="23" t="s">
        <v>717</v>
      </c>
      <c r="I40" s="26">
        <v>31.510989010989</v>
      </c>
      <c r="J40" s="23" t="s">
        <v>718</v>
      </c>
      <c r="K40" s="27" t="s">
        <v>149</v>
      </c>
      <c r="L40" s="23" t="s">
        <v>719</v>
      </c>
      <c r="M40" s="23"/>
      <c r="N40" s="23">
        <v>12</v>
      </c>
      <c r="O40" s="23" t="s">
        <v>503</v>
      </c>
      <c r="P40" s="27" t="s">
        <v>123</v>
      </c>
      <c r="Q40" s="27" t="s">
        <v>124</v>
      </c>
      <c r="R40" s="23" t="s">
        <v>262</v>
      </c>
      <c r="S40" s="23" t="s">
        <v>263</v>
      </c>
      <c r="T40" s="23" t="s">
        <v>332</v>
      </c>
      <c r="U40" s="23" t="s">
        <v>128</v>
      </c>
      <c r="V40" s="23" t="s">
        <v>676</v>
      </c>
      <c r="W40" s="23"/>
      <c r="X40" s="23">
        <v>3</v>
      </c>
      <c r="Y40" s="23" t="s">
        <v>720</v>
      </c>
      <c r="Z40" s="23" t="s">
        <v>646</v>
      </c>
      <c r="AA40" s="23" t="s">
        <v>149</v>
      </c>
      <c r="AB40" s="23" t="s">
        <v>721</v>
      </c>
      <c r="AC40" s="28" t="s">
        <v>722</v>
      </c>
      <c r="AD40" s="29">
        <v>31.510989010989</v>
      </c>
      <c r="AG40" s="37" t="s">
        <v>211</v>
      </c>
      <c r="AH40" s="31">
        <v>306000</v>
      </c>
      <c r="AI40" s="32" t="s">
        <v>138</v>
      </c>
      <c r="AJ40" s="28" t="s">
        <v>723</v>
      </c>
      <c r="AK40" s="28" t="s">
        <v>724</v>
      </c>
      <c r="AL40" s="33" t="s">
        <v>725</v>
      </c>
      <c r="AM40" s="31">
        <f t="shared" si="1"/>
        <v>374836.60130718956</v>
      </c>
      <c r="AN40" s="32" t="s">
        <v>134</v>
      </c>
      <c r="AO40" s="38">
        <v>0.04</v>
      </c>
      <c r="AP40" s="32" t="s">
        <v>138</v>
      </c>
      <c r="AQ40" s="28" t="s">
        <v>726</v>
      </c>
      <c r="AR40" s="29" t="s">
        <v>727</v>
      </c>
      <c r="AS40" s="28" t="s">
        <v>728</v>
      </c>
    </row>
    <row r="41" spans="1:45" ht="99.75" customHeight="1">
      <c r="A41" s="23" t="s">
        <v>729</v>
      </c>
      <c r="B41" s="23" t="s">
        <v>730</v>
      </c>
      <c r="C41" s="24" t="s">
        <v>731</v>
      </c>
      <c r="D41" s="25" t="s">
        <v>115</v>
      </c>
      <c r="E41" s="23" t="s">
        <v>732</v>
      </c>
      <c r="F41" s="23" t="s">
        <v>733</v>
      </c>
      <c r="G41" s="23">
        <v>2070200000</v>
      </c>
      <c r="H41" s="23" t="s">
        <v>734</v>
      </c>
      <c r="I41" s="26">
        <v>6.7214285714285698</v>
      </c>
      <c r="J41" s="23" t="s">
        <v>385</v>
      </c>
      <c r="K41" s="25" t="s">
        <v>120</v>
      </c>
      <c r="L41" s="23" t="s">
        <v>735</v>
      </c>
      <c r="M41" s="23"/>
      <c r="N41" s="23">
        <v>15</v>
      </c>
      <c r="O41" s="23" t="s">
        <v>736</v>
      </c>
      <c r="P41" s="27" t="s">
        <v>123</v>
      </c>
      <c r="Q41" s="27" t="s">
        <v>124</v>
      </c>
      <c r="R41" s="23" t="s">
        <v>262</v>
      </c>
      <c r="S41" s="23" t="s">
        <v>263</v>
      </c>
      <c r="T41" s="23" t="s">
        <v>332</v>
      </c>
      <c r="U41" s="23" t="s">
        <v>128</v>
      </c>
      <c r="V41" s="23" t="s">
        <v>676</v>
      </c>
      <c r="W41" s="23"/>
      <c r="X41" s="23">
        <v>2</v>
      </c>
      <c r="Y41" s="23" t="s">
        <v>737</v>
      </c>
      <c r="Z41" s="23" t="s">
        <v>738</v>
      </c>
      <c r="AA41" s="23" t="s">
        <v>120</v>
      </c>
      <c r="AB41" s="23" t="s">
        <v>739</v>
      </c>
      <c r="AC41" s="28" t="s">
        <v>740</v>
      </c>
      <c r="AD41" s="29">
        <v>6.7162169615136298</v>
      </c>
      <c r="AG41" s="37" t="s">
        <v>211</v>
      </c>
      <c r="AH41" s="31">
        <v>1141000</v>
      </c>
      <c r="AI41" s="32" t="s">
        <v>138</v>
      </c>
      <c r="AJ41" s="28" t="s">
        <v>741</v>
      </c>
      <c r="AK41" s="28" t="s">
        <v>742</v>
      </c>
      <c r="AL41" s="33" t="s">
        <v>743</v>
      </c>
      <c r="AM41" s="31">
        <f t="shared" si="1"/>
        <v>1814.3733567046449</v>
      </c>
      <c r="AN41" s="32" t="s">
        <v>138</v>
      </c>
      <c r="AO41" s="38">
        <v>1.4999999999999999E-2</v>
      </c>
      <c r="AP41" s="32" t="s">
        <v>138</v>
      </c>
      <c r="AQ41" s="28" t="s">
        <v>744</v>
      </c>
      <c r="AR41" s="29" t="s">
        <v>163</v>
      </c>
      <c r="AS41" s="28" t="s">
        <v>745</v>
      </c>
    </row>
    <row r="42" spans="1:45" ht="142.5" customHeight="1">
      <c r="A42" s="23" t="s">
        <v>746</v>
      </c>
      <c r="B42" s="23" t="s">
        <v>59</v>
      </c>
      <c r="C42" s="24" t="s">
        <v>747</v>
      </c>
      <c r="D42" s="25" t="s">
        <v>115</v>
      </c>
      <c r="E42" s="23" t="s">
        <v>748</v>
      </c>
      <c r="F42" s="23" t="s">
        <v>749</v>
      </c>
      <c r="G42" s="23">
        <v>32200000000</v>
      </c>
      <c r="H42" s="23" t="s">
        <v>750</v>
      </c>
      <c r="I42" s="26">
        <v>32.200000000000003</v>
      </c>
      <c r="J42" s="23" t="s">
        <v>222</v>
      </c>
      <c r="K42" s="27" t="s">
        <v>149</v>
      </c>
      <c r="L42" s="23" t="s">
        <v>751</v>
      </c>
      <c r="M42" s="23"/>
      <c r="N42" s="23">
        <v>5</v>
      </c>
      <c r="O42" s="23" t="s">
        <v>240</v>
      </c>
      <c r="P42" s="27" t="s">
        <v>123</v>
      </c>
      <c r="Q42" s="27" t="s">
        <v>124</v>
      </c>
      <c r="R42" s="23" t="s">
        <v>262</v>
      </c>
      <c r="S42" s="23" t="s">
        <v>263</v>
      </c>
      <c r="T42" s="23" t="s">
        <v>332</v>
      </c>
      <c r="U42" s="23" t="s">
        <v>128</v>
      </c>
      <c r="V42" s="23" t="s">
        <v>676</v>
      </c>
      <c r="W42" s="23"/>
      <c r="X42" s="23">
        <v>5</v>
      </c>
      <c r="Y42" s="23" t="s">
        <v>752</v>
      </c>
      <c r="Z42" s="23" t="s">
        <v>193</v>
      </c>
      <c r="AA42" s="23" t="s">
        <v>149</v>
      </c>
      <c r="AB42" s="23" t="s">
        <v>753</v>
      </c>
      <c r="AC42" s="28" t="s">
        <v>754</v>
      </c>
      <c r="AD42" s="29">
        <v>32.200000000000003</v>
      </c>
      <c r="AG42" s="37" t="s">
        <v>211</v>
      </c>
      <c r="AH42" s="31">
        <v>350000</v>
      </c>
      <c r="AI42" s="32" t="s">
        <v>138</v>
      </c>
      <c r="AJ42" s="28" t="s">
        <v>755</v>
      </c>
      <c r="AK42" s="28" t="s">
        <v>213</v>
      </c>
      <c r="AL42" s="33" t="s">
        <v>756</v>
      </c>
      <c r="AM42" s="31">
        <f t="shared" si="1"/>
        <v>92000</v>
      </c>
      <c r="AN42" s="32" t="s">
        <v>134</v>
      </c>
      <c r="AO42" s="38">
        <v>4.3999999999999997E-2</v>
      </c>
      <c r="AP42" s="32" t="s">
        <v>138</v>
      </c>
      <c r="AQ42" s="28" t="s">
        <v>757</v>
      </c>
      <c r="AR42" s="29" t="s">
        <v>758</v>
      </c>
      <c r="AS42" s="28" t="s">
        <v>759</v>
      </c>
    </row>
    <row r="43" spans="1:45" ht="185.25" customHeight="1">
      <c r="A43" s="23" t="s">
        <v>760</v>
      </c>
      <c r="B43" s="23" t="s">
        <v>761</v>
      </c>
      <c r="C43" s="24" t="s">
        <v>762</v>
      </c>
      <c r="D43" s="25" t="s">
        <v>115</v>
      </c>
      <c r="E43" s="23" t="s">
        <v>763</v>
      </c>
      <c r="F43" s="23" t="s">
        <v>764</v>
      </c>
      <c r="G43" s="23">
        <v>257500000</v>
      </c>
      <c r="H43" s="23" t="s">
        <v>765</v>
      </c>
      <c r="I43" s="26">
        <v>0.36318758815232699</v>
      </c>
      <c r="J43" s="23" t="s">
        <v>283</v>
      </c>
      <c r="K43" s="27" t="s">
        <v>149</v>
      </c>
      <c r="L43" s="23" t="s">
        <v>766</v>
      </c>
      <c r="M43" s="23"/>
      <c r="N43" s="23">
        <v>6</v>
      </c>
      <c r="O43" s="23" t="s">
        <v>240</v>
      </c>
      <c r="P43" s="27" t="s">
        <v>123</v>
      </c>
      <c r="Q43" s="27" t="s">
        <v>124</v>
      </c>
      <c r="R43" s="23" t="s">
        <v>152</v>
      </c>
      <c r="S43" s="23" t="s">
        <v>153</v>
      </c>
      <c r="T43" s="23" t="s">
        <v>332</v>
      </c>
      <c r="U43" s="23" t="s">
        <v>128</v>
      </c>
      <c r="V43" s="23" t="s">
        <v>155</v>
      </c>
      <c r="W43" s="23"/>
      <c r="X43" s="23">
        <v>13</v>
      </c>
      <c r="Y43" s="23" t="s">
        <v>767</v>
      </c>
      <c r="Z43" s="23" t="s">
        <v>381</v>
      </c>
      <c r="AA43" s="23" t="s">
        <v>120</v>
      </c>
      <c r="AB43" s="23" t="s">
        <v>768</v>
      </c>
      <c r="AC43" s="28" t="s">
        <v>769</v>
      </c>
      <c r="AD43" s="29">
        <v>0.36318758815232699</v>
      </c>
      <c r="AG43" s="30" t="s">
        <v>133</v>
      </c>
      <c r="AH43" s="36">
        <v>320000</v>
      </c>
      <c r="AI43" s="35" t="s">
        <v>139</v>
      </c>
      <c r="AJ43" s="28" t="s">
        <v>770</v>
      </c>
      <c r="AK43" s="28" t="s">
        <v>771</v>
      </c>
      <c r="AL43" s="33" t="s">
        <v>772</v>
      </c>
      <c r="AM43" s="36">
        <f t="shared" si="1"/>
        <v>804.6875</v>
      </c>
      <c r="AN43" s="35" t="s">
        <v>139</v>
      </c>
      <c r="AO43" s="38">
        <v>0.05</v>
      </c>
      <c r="AP43" s="32" t="s">
        <v>138</v>
      </c>
      <c r="AQ43" s="28" t="s">
        <v>773</v>
      </c>
      <c r="AR43" s="29" t="s">
        <v>272</v>
      </c>
      <c r="AS43" s="28" t="s">
        <v>774</v>
      </c>
    </row>
    <row r="44" spans="1:45" ht="85.5" customHeight="1">
      <c r="A44" s="23" t="s">
        <v>775</v>
      </c>
      <c r="B44" s="23" t="s">
        <v>776</v>
      </c>
      <c r="C44" s="24" t="s">
        <v>777</v>
      </c>
      <c r="D44" s="44" t="s">
        <v>628</v>
      </c>
      <c r="E44" s="23"/>
      <c r="F44" s="23"/>
      <c r="G44" s="23"/>
      <c r="H44" s="23"/>
      <c r="I44" s="23"/>
      <c r="J44" s="23"/>
      <c r="K44" s="23"/>
      <c r="L44" s="23"/>
      <c r="M44" s="23"/>
      <c r="N44" s="23">
        <v>0.5</v>
      </c>
      <c r="O44" s="23" t="s">
        <v>503</v>
      </c>
      <c r="P44" s="27" t="s">
        <v>123</v>
      </c>
      <c r="Q44" s="27" t="s">
        <v>124</v>
      </c>
      <c r="R44" s="23" t="s">
        <v>125</v>
      </c>
      <c r="S44" s="23" t="s">
        <v>126</v>
      </c>
      <c r="T44" s="23" t="s">
        <v>332</v>
      </c>
      <c r="U44" s="23" t="s">
        <v>128</v>
      </c>
      <c r="V44" s="23" t="s">
        <v>129</v>
      </c>
      <c r="W44" s="23"/>
      <c r="X44" s="23">
        <v>48</v>
      </c>
      <c r="Y44" s="23" t="s">
        <v>778</v>
      </c>
      <c r="Z44" s="23" t="s">
        <v>779</v>
      </c>
      <c r="AA44" s="23" t="s">
        <v>149</v>
      </c>
      <c r="AB44" s="23" t="s">
        <v>780</v>
      </c>
      <c r="AC44" s="28" t="s">
        <v>666</v>
      </c>
      <c r="AG44" s="29" t="s">
        <v>633</v>
      </c>
    </row>
    <row r="45" spans="1:45" ht="85.5" customHeight="1">
      <c r="A45" s="23" t="s">
        <v>781</v>
      </c>
      <c r="B45" s="23" t="s">
        <v>782</v>
      </c>
      <c r="C45" s="24" t="s">
        <v>783</v>
      </c>
      <c r="D45" s="44" t="s">
        <v>628</v>
      </c>
      <c r="E45" s="23"/>
      <c r="F45" s="23"/>
      <c r="G45" s="23"/>
      <c r="H45" s="23"/>
      <c r="I45" s="23"/>
      <c r="J45" s="23"/>
      <c r="K45" s="23"/>
      <c r="L45" s="23"/>
      <c r="M45" s="23"/>
      <c r="N45" s="23">
        <v>1.5</v>
      </c>
      <c r="O45" s="23" t="s">
        <v>503</v>
      </c>
      <c r="P45" s="27" t="s">
        <v>123</v>
      </c>
      <c r="Q45" s="27" t="s">
        <v>124</v>
      </c>
      <c r="R45" s="23" t="s">
        <v>152</v>
      </c>
      <c r="S45" s="23" t="s">
        <v>153</v>
      </c>
      <c r="T45" s="23" t="s">
        <v>332</v>
      </c>
      <c r="U45" s="23" t="s">
        <v>128</v>
      </c>
      <c r="V45" s="23" t="s">
        <v>155</v>
      </c>
      <c r="W45" s="23"/>
      <c r="X45" s="23">
        <v>2</v>
      </c>
      <c r="Y45" s="23" t="s">
        <v>784</v>
      </c>
      <c r="Z45" s="23" t="s">
        <v>381</v>
      </c>
      <c r="AA45" s="23" t="s">
        <v>120</v>
      </c>
      <c r="AB45" s="23" t="s">
        <v>785</v>
      </c>
      <c r="AC45" s="28" t="s">
        <v>666</v>
      </c>
      <c r="AG45" s="29" t="s">
        <v>633</v>
      </c>
    </row>
    <row r="46" spans="1:45" ht="114" customHeight="1">
      <c r="A46" s="23" t="s">
        <v>786</v>
      </c>
      <c r="B46" s="23" t="s">
        <v>787</v>
      </c>
      <c r="C46" s="24" t="s">
        <v>788</v>
      </c>
      <c r="D46" s="25" t="s">
        <v>115</v>
      </c>
      <c r="E46" s="23" t="s">
        <v>789</v>
      </c>
      <c r="F46" s="23" t="s">
        <v>790</v>
      </c>
      <c r="G46" s="23">
        <v>43600000000</v>
      </c>
      <c r="H46" s="23" t="s">
        <v>791</v>
      </c>
      <c r="I46" s="26">
        <v>13.2121212121212</v>
      </c>
      <c r="J46" s="23" t="s">
        <v>288</v>
      </c>
      <c r="K46" s="25" t="s">
        <v>120</v>
      </c>
      <c r="L46" s="23" t="s">
        <v>792</v>
      </c>
      <c r="M46" s="23" t="s">
        <v>793</v>
      </c>
      <c r="N46" s="23">
        <v>35</v>
      </c>
      <c r="O46" s="23" t="s">
        <v>794</v>
      </c>
      <c r="P46" s="42" t="s">
        <v>260</v>
      </c>
      <c r="Q46" s="42" t="s">
        <v>261</v>
      </c>
      <c r="R46" s="23" t="s">
        <v>262</v>
      </c>
      <c r="S46" s="23" t="s">
        <v>263</v>
      </c>
      <c r="T46" s="23" t="s">
        <v>332</v>
      </c>
      <c r="U46" s="23" t="s">
        <v>264</v>
      </c>
      <c r="V46" s="23" t="s">
        <v>265</v>
      </c>
      <c r="W46" s="23"/>
      <c r="X46" s="23">
        <v>784</v>
      </c>
      <c r="Y46" s="23" t="s">
        <v>795</v>
      </c>
      <c r="Z46" s="23" t="s">
        <v>646</v>
      </c>
      <c r="AA46" s="23" t="s">
        <v>120</v>
      </c>
      <c r="AB46" s="23" t="s">
        <v>796</v>
      </c>
      <c r="AC46" s="28" t="s">
        <v>797</v>
      </c>
      <c r="AD46" s="29">
        <v>14.539721117477599</v>
      </c>
      <c r="AG46" s="30" t="s">
        <v>133</v>
      </c>
      <c r="AH46" s="31">
        <f>G46/AM46</f>
        <v>870311.59550472081</v>
      </c>
      <c r="AI46" s="32" t="s">
        <v>134</v>
      </c>
      <c r="AJ46" s="28" t="s">
        <v>160</v>
      </c>
      <c r="AK46" s="29" t="s">
        <v>136</v>
      </c>
      <c r="AL46" s="33"/>
      <c r="AM46" s="31">
        <v>50097</v>
      </c>
      <c r="AN46" s="32" t="s">
        <v>134</v>
      </c>
      <c r="AO46" s="34">
        <v>1.55E-2</v>
      </c>
      <c r="AP46" s="35" t="s">
        <v>139</v>
      </c>
      <c r="AQ46" s="28" t="s">
        <v>798</v>
      </c>
      <c r="AR46" s="29" t="s">
        <v>799</v>
      </c>
      <c r="AS46" s="28" t="s">
        <v>800</v>
      </c>
    </row>
    <row r="47" spans="1:45" ht="85.5" customHeight="1">
      <c r="A47" s="23" t="s">
        <v>801</v>
      </c>
      <c r="B47" s="23" t="s">
        <v>802</v>
      </c>
      <c r="C47" s="24" t="s">
        <v>803</v>
      </c>
      <c r="D47" s="25" t="s">
        <v>115</v>
      </c>
      <c r="E47" s="23" t="s">
        <v>650</v>
      </c>
      <c r="F47" s="23" t="s">
        <v>804</v>
      </c>
      <c r="G47" s="23">
        <f>AE47-AF47</f>
        <v>3110000000</v>
      </c>
      <c r="H47" s="23" t="s">
        <v>750</v>
      </c>
      <c r="I47" s="26">
        <v>3.11</v>
      </c>
      <c r="J47" s="23" t="s">
        <v>148</v>
      </c>
      <c r="K47" s="27" t="s">
        <v>149</v>
      </c>
      <c r="L47" s="23" t="s">
        <v>805</v>
      </c>
      <c r="M47" s="23"/>
      <c r="N47" s="23">
        <v>0.4</v>
      </c>
      <c r="O47" s="23" t="s">
        <v>503</v>
      </c>
      <c r="P47" s="27" t="s">
        <v>123</v>
      </c>
      <c r="Q47" s="27" t="s">
        <v>124</v>
      </c>
      <c r="R47" s="23" t="s">
        <v>125</v>
      </c>
      <c r="S47" s="23" t="s">
        <v>126</v>
      </c>
      <c r="T47" s="23" t="s">
        <v>332</v>
      </c>
      <c r="U47" s="23" t="s">
        <v>128</v>
      </c>
      <c r="V47" s="23" t="s">
        <v>129</v>
      </c>
      <c r="W47" s="23"/>
      <c r="X47" s="23">
        <v>9</v>
      </c>
      <c r="Y47" s="23" t="s">
        <v>806</v>
      </c>
      <c r="Z47" s="23" t="s">
        <v>445</v>
      </c>
      <c r="AA47" s="23" t="s">
        <v>149</v>
      </c>
      <c r="AB47" s="23" t="s">
        <v>807</v>
      </c>
      <c r="AC47" s="40" t="s">
        <v>808</v>
      </c>
      <c r="AD47" s="29">
        <v>3.11</v>
      </c>
      <c r="AE47" s="41">
        <v>4190000000</v>
      </c>
      <c r="AF47" s="41">
        <v>1080000000</v>
      </c>
      <c r="AG47" s="37" t="s">
        <v>211</v>
      </c>
      <c r="AH47" s="31">
        <v>540000</v>
      </c>
      <c r="AI47" s="32" t="s">
        <v>134</v>
      </c>
      <c r="AJ47" s="28" t="s">
        <v>809</v>
      </c>
      <c r="AK47" s="28" t="s">
        <v>136</v>
      </c>
      <c r="AL47" s="33" t="s">
        <v>810</v>
      </c>
      <c r="AM47" s="31">
        <f>G47/AH47</f>
        <v>5759.2592592592591</v>
      </c>
      <c r="AN47" s="32" t="s">
        <v>134</v>
      </c>
      <c r="AO47" s="38">
        <v>5.0799999999999998E-2</v>
      </c>
      <c r="AP47" s="32" t="s">
        <v>138</v>
      </c>
      <c r="AQ47" s="28" t="s">
        <v>811</v>
      </c>
      <c r="AR47" s="29" t="s">
        <v>646</v>
      </c>
      <c r="AS47" s="28" t="s">
        <v>810</v>
      </c>
    </row>
    <row r="48" spans="1:45" ht="99.75" customHeight="1">
      <c r="A48" s="23" t="s">
        <v>812</v>
      </c>
      <c r="B48" s="23" t="s">
        <v>813</v>
      </c>
      <c r="C48" s="24" t="s">
        <v>814</v>
      </c>
      <c r="D48" s="25" t="s">
        <v>115</v>
      </c>
      <c r="E48" s="23" t="s">
        <v>815</v>
      </c>
      <c r="F48" s="23" t="s">
        <v>816</v>
      </c>
      <c r="G48" s="23">
        <v>2407042000000</v>
      </c>
      <c r="H48" s="23" t="s">
        <v>817</v>
      </c>
      <c r="I48" s="26">
        <v>53.264925868554997</v>
      </c>
      <c r="J48" s="23" t="s">
        <v>818</v>
      </c>
      <c r="K48" s="25" t="s">
        <v>120</v>
      </c>
      <c r="L48" s="23" t="s">
        <v>819</v>
      </c>
      <c r="M48" s="23"/>
      <c r="N48" s="23">
        <v>40</v>
      </c>
      <c r="O48" s="23" t="s">
        <v>820</v>
      </c>
      <c r="P48" s="27" t="s">
        <v>123</v>
      </c>
      <c r="Q48" s="27" t="s">
        <v>124</v>
      </c>
      <c r="R48" s="23" t="s">
        <v>152</v>
      </c>
      <c r="S48" s="23" t="s">
        <v>153</v>
      </c>
      <c r="T48" s="23" t="s">
        <v>473</v>
      </c>
      <c r="U48" s="23" t="s">
        <v>264</v>
      </c>
      <c r="V48" s="23" t="s">
        <v>363</v>
      </c>
      <c r="W48" s="23"/>
      <c r="X48" s="23">
        <v>24</v>
      </c>
      <c r="Y48" s="23" t="s">
        <v>241</v>
      </c>
      <c r="Z48" s="23" t="s">
        <v>445</v>
      </c>
      <c r="AA48" s="23" t="s">
        <v>120</v>
      </c>
      <c r="AB48" s="23" t="s">
        <v>821</v>
      </c>
      <c r="AC48" s="40" t="s">
        <v>822</v>
      </c>
      <c r="AD48" s="29">
        <v>50.4559401766912</v>
      </c>
      <c r="AG48" s="37" t="s">
        <v>211</v>
      </c>
      <c r="AH48" s="36">
        <v>44300000</v>
      </c>
      <c r="AI48" s="35" t="s">
        <v>139</v>
      </c>
      <c r="AJ48" s="28" t="s">
        <v>823</v>
      </c>
      <c r="AK48" s="28" t="s">
        <v>563</v>
      </c>
      <c r="AL48" s="33" t="s">
        <v>824</v>
      </c>
      <c r="AM48" s="31">
        <v>97575</v>
      </c>
      <c r="AN48" s="32" t="s">
        <v>138</v>
      </c>
      <c r="AO48" s="34">
        <v>4.3999999999999997E-2</v>
      </c>
      <c r="AP48" s="35" t="s">
        <v>139</v>
      </c>
      <c r="AQ48" s="28" t="s">
        <v>825</v>
      </c>
      <c r="AR48" s="29" t="s">
        <v>563</v>
      </c>
      <c r="AS48" s="28" t="s">
        <v>824</v>
      </c>
    </row>
    <row r="49" spans="1:45" ht="85.5" customHeight="1">
      <c r="A49" s="23" t="s">
        <v>826</v>
      </c>
      <c r="B49" s="23" t="s">
        <v>827</v>
      </c>
      <c r="C49" s="24" t="s">
        <v>828</v>
      </c>
      <c r="D49" s="25" t="s">
        <v>115</v>
      </c>
      <c r="E49" s="23" t="s">
        <v>650</v>
      </c>
      <c r="F49" s="23" t="s">
        <v>829</v>
      </c>
      <c r="G49" s="23">
        <v>2094500000000</v>
      </c>
      <c r="H49" s="23" t="s">
        <v>830</v>
      </c>
      <c r="I49" s="26">
        <v>0.946581100013558</v>
      </c>
      <c r="J49" s="23" t="s">
        <v>718</v>
      </c>
      <c r="K49" s="25" t="s">
        <v>120</v>
      </c>
      <c r="L49" s="23" t="s">
        <v>831</v>
      </c>
      <c r="M49" s="23"/>
      <c r="N49" s="23">
        <v>0.2</v>
      </c>
      <c r="O49" s="23" t="s">
        <v>503</v>
      </c>
      <c r="P49" s="27" t="s">
        <v>123</v>
      </c>
      <c r="Q49" s="27" t="s">
        <v>124</v>
      </c>
      <c r="R49" s="23" t="s">
        <v>660</v>
      </c>
      <c r="S49" s="23" t="s">
        <v>661</v>
      </c>
      <c r="T49" s="23" t="s">
        <v>332</v>
      </c>
      <c r="U49" s="23" t="s">
        <v>128</v>
      </c>
      <c r="V49" s="23" t="s">
        <v>662</v>
      </c>
      <c r="W49" s="23"/>
      <c r="X49" s="23">
        <v>13</v>
      </c>
      <c r="Y49" s="23" t="s">
        <v>832</v>
      </c>
      <c r="Z49" s="23" t="s">
        <v>381</v>
      </c>
      <c r="AA49" s="23" t="s">
        <v>120</v>
      </c>
      <c r="AB49" s="23" t="s">
        <v>833</v>
      </c>
      <c r="AC49" s="40" t="s">
        <v>834</v>
      </c>
      <c r="AD49" s="29">
        <v>1.36449511400651</v>
      </c>
      <c r="AG49" s="37" t="s">
        <v>211</v>
      </c>
      <c r="AH49" s="31">
        <f>G49/AM49</f>
        <v>5919827.2524031196</v>
      </c>
      <c r="AI49" s="32" t="s">
        <v>134</v>
      </c>
      <c r="AJ49" s="28" t="s">
        <v>160</v>
      </c>
      <c r="AK49" s="29" t="s">
        <v>136</v>
      </c>
      <c r="AL49" s="33"/>
      <c r="AM49" s="31">
        <v>353811</v>
      </c>
      <c r="AN49" s="32" t="s">
        <v>134</v>
      </c>
      <c r="AO49" s="38">
        <v>0.19</v>
      </c>
      <c r="AP49" s="32" t="s">
        <v>134</v>
      </c>
      <c r="AQ49" s="28" t="s">
        <v>835</v>
      </c>
      <c r="AR49" s="29" t="s">
        <v>272</v>
      </c>
      <c r="AS49" s="28"/>
    </row>
    <row r="50" spans="1:45" ht="85.5" customHeight="1">
      <c r="A50" s="23" t="s">
        <v>836</v>
      </c>
      <c r="B50" s="23" t="s">
        <v>837</v>
      </c>
      <c r="C50" s="24" t="s">
        <v>838</v>
      </c>
      <c r="D50" s="44" t="s">
        <v>628</v>
      </c>
      <c r="E50" s="23"/>
      <c r="F50" s="23"/>
      <c r="G50" s="23"/>
      <c r="H50" s="23"/>
      <c r="I50" s="23"/>
      <c r="J50" s="23"/>
      <c r="K50" s="23"/>
      <c r="L50" s="23"/>
      <c r="M50" s="23"/>
      <c r="N50" s="23">
        <v>8</v>
      </c>
      <c r="O50" s="23" t="s">
        <v>503</v>
      </c>
      <c r="P50" s="27" t="s">
        <v>123</v>
      </c>
      <c r="Q50" s="27" t="s">
        <v>124</v>
      </c>
      <c r="R50" s="23" t="s">
        <v>152</v>
      </c>
      <c r="S50" s="23" t="s">
        <v>153</v>
      </c>
      <c r="T50" s="23" t="s">
        <v>332</v>
      </c>
      <c r="U50" s="23" t="s">
        <v>128</v>
      </c>
      <c r="V50" s="23" t="s">
        <v>155</v>
      </c>
      <c r="W50" s="23"/>
      <c r="X50" s="23"/>
      <c r="Y50" s="23"/>
      <c r="Z50" s="23"/>
      <c r="AA50" s="23"/>
      <c r="AB50" s="23"/>
      <c r="AC50" s="28" t="s">
        <v>666</v>
      </c>
      <c r="AG50" s="29" t="s">
        <v>633</v>
      </c>
    </row>
    <row r="51" spans="1:45" ht="142.5" customHeight="1">
      <c r="A51" s="23" t="s">
        <v>839</v>
      </c>
      <c r="B51" s="23" t="s">
        <v>840</v>
      </c>
      <c r="C51" s="24" t="s">
        <v>841</v>
      </c>
      <c r="D51" s="25" t="s">
        <v>115</v>
      </c>
      <c r="E51" s="23" t="s">
        <v>842</v>
      </c>
      <c r="F51" s="23" t="s">
        <v>843</v>
      </c>
      <c r="G51" s="23">
        <v>1377460000000</v>
      </c>
      <c r="H51" s="23" t="s">
        <v>844</v>
      </c>
      <c r="I51" s="26">
        <v>0.54018039215686298</v>
      </c>
      <c r="J51" s="23" t="s">
        <v>283</v>
      </c>
      <c r="K51" s="25" t="s">
        <v>120</v>
      </c>
      <c r="L51" s="23" t="s">
        <v>845</v>
      </c>
      <c r="M51" s="23" t="s">
        <v>846</v>
      </c>
      <c r="N51" s="23">
        <v>1.8</v>
      </c>
      <c r="O51" s="23" t="s">
        <v>240</v>
      </c>
      <c r="P51" s="27" t="s">
        <v>123</v>
      </c>
      <c r="Q51" s="27" t="s">
        <v>124</v>
      </c>
      <c r="R51" s="23" t="s">
        <v>125</v>
      </c>
      <c r="S51" s="23" t="s">
        <v>126</v>
      </c>
      <c r="T51" s="23" t="s">
        <v>398</v>
      </c>
      <c r="U51" s="23" t="s">
        <v>128</v>
      </c>
      <c r="V51" s="23" t="s">
        <v>129</v>
      </c>
      <c r="W51" s="23"/>
      <c r="X51" s="23">
        <v>2938</v>
      </c>
      <c r="Y51" s="23" t="s">
        <v>847</v>
      </c>
      <c r="Z51" s="23" t="s">
        <v>148</v>
      </c>
      <c r="AA51" s="23" t="s">
        <v>120</v>
      </c>
      <c r="AB51" s="23" t="s">
        <v>845</v>
      </c>
      <c r="AC51" s="28" t="s">
        <v>848</v>
      </c>
      <c r="AD51" s="29">
        <v>0.52051785351070601</v>
      </c>
      <c r="AG51" s="30" t="s">
        <v>133</v>
      </c>
      <c r="AH51" s="36">
        <v>2949739</v>
      </c>
      <c r="AI51" s="35" t="s">
        <v>139</v>
      </c>
      <c r="AJ51" s="28" t="s">
        <v>849</v>
      </c>
      <c r="AK51" s="28" t="s">
        <v>163</v>
      </c>
      <c r="AL51" s="33" t="s">
        <v>850</v>
      </c>
      <c r="AM51" s="36">
        <f>G51/AH51</f>
        <v>466976.90880447387</v>
      </c>
      <c r="AN51" s="35" t="s">
        <v>139</v>
      </c>
      <c r="AO51" s="38">
        <v>0.1</v>
      </c>
      <c r="AP51" s="32" t="s">
        <v>138</v>
      </c>
      <c r="AQ51" s="28" t="s">
        <v>851</v>
      </c>
      <c r="AR51" s="29" t="s">
        <v>272</v>
      </c>
      <c r="AS51" s="28" t="s">
        <v>273</v>
      </c>
    </row>
    <row r="52" spans="1:45" ht="142.5" customHeight="1">
      <c r="A52" s="23" t="s">
        <v>852</v>
      </c>
      <c r="B52" s="23" t="s">
        <v>853</v>
      </c>
      <c r="C52" s="24" t="s">
        <v>854</v>
      </c>
      <c r="D52" s="25" t="s">
        <v>115</v>
      </c>
      <c r="E52" s="23" t="s">
        <v>855</v>
      </c>
      <c r="F52" s="23" t="s">
        <v>856</v>
      </c>
      <c r="G52" s="23">
        <v>724467043047</v>
      </c>
      <c r="H52" s="23" t="s">
        <v>857</v>
      </c>
      <c r="I52" s="26">
        <v>0.19580190352621599</v>
      </c>
      <c r="J52" s="23" t="s">
        <v>131</v>
      </c>
      <c r="K52" s="27" t="s">
        <v>149</v>
      </c>
      <c r="L52" s="23" t="s">
        <v>858</v>
      </c>
      <c r="M52" s="23"/>
      <c r="N52" s="23">
        <v>1.2</v>
      </c>
      <c r="O52" s="23" t="s">
        <v>240</v>
      </c>
      <c r="P52" s="27" t="s">
        <v>123</v>
      </c>
      <c r="Q52" s="27" t="s">
        <v>124</v>
      </c>
      <c r="R52" s="23" t="s">
        <v>660</v>
      </c>
      <c r="S52" s="23" t="s">
        <v>661</v>
      </c>
      <c r="T52" s="23" t="s">
        <v>398</v>
      </c>
      <c r="U52" s="23" t="s">
        <v>128</v>
      </c>
      <c r="V52" s="23" t="s">
        <v>662</v>
      </c>
      <c r="W52" s="23"/>
      <c r="X52" s="23">
        <v>1402</v>
      </c>
      <c r="Y52" s="23" t="s">
        <v>859</v>
      </c>
      <c r="Z52" s="23" t="s">
        <v>664</v>
      </c>
      <c r="AA52" s="23" t="s">
        <v>120</v>
      </c>
      <c r="AB52" s="23" t="s">
        <v>860</v>
      </c>
      <c r="AC52" s="28" t="s">
        <v>861</v>
      </c>
      <c r="AD52" s="29">
        <v>0.194075903431532</v>
      </c>
      <c r="AG52" s="30" t="s">
        <v>133</v>
      </c>
      <c r="AH52" s="36">
        <v>1061861</v>
      </c>
      <c r="AI52" s="35" t="s">
        <v>139</v>
      </c>
      <c r="AJ52" s="28" t="s">
        <v>862</v>
      </c>
      <c r="AK52" s="28" t="s">
        <v>863</v>
      </c>
      <c r="AL52" s="33" t="s">
        <v>864</v>
      </c>
      <c r="AM52" s="31">
        <v>1180031</v>
      </c>
      <c r="AN52" s="32" t="s">
        <v>138</v>
      </c>
      <c r="AO52" s="34">
        <v>9.6100000000000005E-2</v>
      </c>
      <c r="AP52" s="35" t="s">
        <v>139</v>
      </c>
      <c r="AQ52" s="28" t="s">
        <v>865</v>
      </c>
      <c r="AR52" s="29" t="s">
        <v>863</v>
      </c>
      <c r="AS52" s="28" t="s">
        <v>864</v>
      </c>
    </row>
    <row r="53" spans="1:45" ht="142.5" customHeight="1">
      <c r="A53" s="23" t="s">
        <v>866</v>
      </c>
      <c r="B53" s="23" t="s">
        <v>867</v>
      </c>
      <c r="C53" s="24" t="s">
        <v>868</v>
      </c>
      <c r="D53" s="25" t="s">
        <v>115</v>
      </c>
      <c r="E53" s="23" t="s">
        <v>869</v>
      </c>
      <c r="F53" s="23" t="s">
        <v>870</v>
      </c>
      <c r="G53" s="23">
        <v>611600000000</v>
      </c>
      <c r="H53" s="23" t="s">
        <v>871</v>
      </c>
      <c r="I53" s="26">
        <v>0.45303703703703702</v>
      </c>
      <c r="J53" s="23" t="s">
        <v>445</v>
      </c>
      <c r="K53" s="25" t="s">
        <v>120</v>
      </c>
      <c r="L53" s="23" t="s">
        <v>872</v>
      </c>
      <c r="M53" s="23"/>
      <c r="N53" s="23">
        <v>0.6</v>
      </c>
      <c r="O53" s="23" t="s">
        <v>240</v>
      </c>
      <c r="P53" s="27" t="s">
        <v>123</v>
      </c>
      <c r="Q53" s="27" t="s">
        <v>124</v>
      </c>
      <c r="R53" s="23" t="s">
        <v>660</v>
      </c>
      <c r="S53" s="23" t="s">
        <v>661</v>
      </c>
      <c r="T53" s="23" t="s">
        <v>398</v>
      </c>
      <c r="U53" s="23" t="s">
        <v>128</v>
      </c>
      <c r="V53" s="23" t="s">
        <v>662</v>
      </c>
      <c r="W53" s="23"/>
      <c r="X53" s="23">
        <v>65</v>
      </c>
      <c r="Y53" s="23" t="s">
        <v>873</v>
      </c>
      <c r="Z53" s="23" t="s">
        <v>163</v>
      </c>
      <c r="AA53" s="23" t="s">
        <v>120</v>
      </c>
      <c r="AB53" s="23" t="s">
        <v>872</v>
      </c>
      <c r="AC53" s="28" t="s">
        <v>874</v>
      </c>
      <c r="AD53" s="29">
        <v>0.41584135060124999</v>
      </c>
      <c r="AG53" s="30" t="s">
        <v>133</v>
      </c>
      <c r="AH53" s="36">
        <v>182736</v>
      </c>
      <c r="AI53" s="35" t="s">
        <v>139</v>
      </c>
      <c r="AJ53" s="28" t="s">
        <v>875</v>
      </c>
      <c r="AK53" s="28" t="s">
        <v>646</v>
      </c>
      <c r="AL53" s="33" t="s">
        <v>876</v>
      </c>
      <c r="AM53" s="31">
        <v>468451</v>
      </c>
      <c r="AN53" s="32" t="s">
        <v>138</v>
      </c>
      <c r="AO53" s="34">
        <v>3.5000000000000003E-2</v>
      </c>
      <c r="AP53" s="35" t="s">
        <v>139</v>
      </c>
      <c r="AQ53" s="28" t="s">
        <v>877</v>
      </c>
      <c r="AR53" s="29" t="s">
        <v>163</v>
      </c>
      <c r="AS53" s="28" t="s">
        <v>872</v>
      </c>
    </row>
    <row r="54" spans="1:45" ht="142.5" customHeight="1">
      <c r="A54" s="23" t="s">
        <v>878</v>
      </c>
      <c r="B54" s="23" t="s">
        <v>879</v>
      </c>
      <c r="C54" s="24" t="s">
        <v>880</v>
      </c>
      <c r="D54" s="25" t="s">
        <v>115</v>
      </c>
      <c r="E54" s="23" t="s">
        <v>881</v>
      </c>
      <c r="F54" s="23" t="s">
        <v>882</v>
      </c>
      <c r="G54" s="23">
        <v>48900000000</v>
      </c>
      <c r="H54" s="23" t="s">
        <v>883</v>
      </c>
      <c r="I54" s="26">
        <v>0.37615384615384601</v>
      </c>
      <c r="J54" s="23" t="s">
        <v>175</v>
      </c>
      <c r="K54" s="25" t="s">
        <v>120</v>
      </c>
      <c r="L54" s="23" t="s">
        <v>884</v>
      </c>
      <c r="M54" s="23"/>
      <c r="N54" s="23">
        <v>2.5</v>
      </c>
      <c r="O54" s="23" t="s">
        <v>240</v>
      </c>
      <c r="P54" s="27" t="s">
        <v>123</v>
      </c>
      <c r="Q54" s="27" t="s">
        <v>124</v>
      </c>
      <c r="R54" s="23" t="s">
        <v>660</v>
      </c>
      <c r="S54" s="23" t="s">
        <v>661</v>
      </c>
      <c r="T54" s="23" t="s">
        <v>398</v>
      </c>
      <c r="U54" s="23" t="s">
        <v>128</v>
      </c>
      <c r="V54" s="23" t="s">
        <v>662</v>
      </c>
      <c r="W54" s="23"/>
      <c r="X54" s="23">
        <v>59</v>
      </c>
      <c r="Y54" s="23" t="s">
        <v>885</v>
      </c>
      <c r="Z54" s="23" t="s">
        <v>175</v>
      </c>
      <c r="AA54" s="23" t="s">
        <v>120</v>
      </c>
      <c r="AB54" s="23" t="s">
        <v>884</v>
      </c>
      <c r="AC54" s="28" t="s">
        <v>886</v>
      </c>
      <c r="AD54" s="29">
        <v>0.30395710189397301</v>
      </c>
      <c r="AG54" s="30" t="s">
        <v>133</v>
      </c>
      <c r="AH54" s="36">
        <v>752387</v>
      </c>
      <c r="AI54" s="35" t="s">
        <v>139</v>
      </c>
      <c r="AJ54" s="28" t="s">
        <v>887</v>
      </c>
      <c r="AK54" s="28" t="s">
        <v>193</v>
      </c>
      <c r="AL54" s="33" t="s">
        <v>888</v>
      </c>
      <c r="AM54" s="36">
        <f>G54/AH54</f>
        <v>64993.148472793924</v>
      </c>
      <c r="AN54" s="35" t="s">
        <v>139</v>
      </c>
      <c r="AO54" s="34">
        <v>3.3000000000000002E-2</v>
      </c>
      <c r="AP54" s="35" t="s">
        <v>139</v>
      </c>
      <c r="AQ54" s="28" t="s">
        <v>889</v>
      </c>
      <c r="AR54" s="29" t="s">
        <v>193</v>
      </c>
      <c r="AS54" s="28" t="s">
        <v>888</v>
      </c>
    </row>
    <row r="55" spans="1:45" ht="142.5" customHeight="1">
      <c r="A55" s="23" t="s">
        <v>890</v>
      </c>
      <c r="B55" s="23" t="s">
        <v>891</v>
      </c>
      <c r="C55" s="24" t="s">
        <v>892</v>
      </c>
      <c r="D55" s="25" t="s">
        <v>115</v>
      </c>
      <c r="E55" s="23" t="s">
        <v>893</v>
      </c>
      <c r="F55" s="23" t="s">
        <v>894</v>
      </c>
      <c r="G55" s="23">
        <v>721221600000</v>
      </c>
      <c r="H55" s="23" t="s">
        <v>895</v>
      </c>
      <c r="I55" s="26">
        <v>1.2020360000000001</v>
      </c>
      <c r="J55" s="23" t="s">
        <v>157</v>
      </c>
      <c r="K55" s="25" t="s">
        <v>120</v>
      </c>
      <c r="L55" s="23" t="s">
        <v>896</v>
      </c>
      <c r="M55" s="23" t="s">
        <v>897</v>
      </c>
      <c r="N55" s="23">
        <v>2</v>
      </c>
      <c r="O55" s="23" t="s">
        <v>240</v>
      </c>
      <c r="P55" s="27" t="s">
        <v>123</v>
      </c>
      <c r="Q55" s="27" t="s">
        <v>124</v>
      </c>
      <c r="R55" s="23" t="s">
        <v>125</v>
      </c>
      <c r="S55" s="23" t="s">
        <v>126</v>
      </c>
      <c r="T55" s="23" t="s">
        <v>398</v>
      </c>
      <c r="U55" s="23" t="s">
        <v>128</v>
      </c>
      <c r="V55" s="23" t="s">
        <v>129</v>
      </c>
      <c r="W55" s="23"/>
      <c r="X55" s="23">
        <v>48</v>
      </c>
      <c r="Y55" s="23" t="s">
        <v>898</v>
      </c>
      <c r="Z55" s="23" t="s">
        <v>157</v>
      </c>
      <c r="AA55" s="23" t="s">
        <v>120</v>
      </c>
      <c r="AB55" s="23" t="s">
        <v>896</v>
      </c>
      <c r="AC55" s="28" t="s">
        <v>899</v>
      </c>
      <c r="AD55" s="29">
        <v>1.2703545027854299</v>
      </c>
      <c r="AG55" s="30" t="s">
        <v>133</v>
      </c>
      <c r="AH55" s="36">
        <v>2572000</v>
      </c>
      <c r="AI55" s="35" t="s">
        <v>139</v>
      </c>
      <c r="AJ55" s="28" t="s">
        <v>900</v>
      </c>
      <c r="AK55" s="28" t="s">
        <v>148</v>
      </c>
      <c r="AL55" s="33" t="s">
        <v>901</v>
      </c>
      <c r="AM55" s="31">
        <v>1526799</v>
      </c>
      <c r="AN55" s="32" t="s">
        <v>138</v>
      </c>
      <c r="AO55" s="34">
        <v>9.9000000000000005E-2</v>
      </c>
      <c r="AP55" s="35" t="s">
        <v>139</v>
      </c>
      <c r="AQ55" s="28" t="s">
        <v>902</v>
      </c>
      <c r="AR55" s="29" t="s">
        <v>148</v>
      </c>
      <c r="AS55" s="28" t="s">
        <v>901</v>
      </c>
    </row>
    <row r="56" spans="1:45" ht="142.5" customHeight="1">
      <c r="A56" s="23" t="s">
        <v>903</v>
      </c>
      <c r="B56" s="23" t="s">
        <v>904</v>
      </c>
      <c r="C56" s="24" t="s">
        <v>905</v>
      </c>
      <c r="D56" s="25" t="s">
        <v>115</v>
      </c>
      <c r="E56" s="23" t="s">
        <v>893</v>
      </c>
      <c r="F56" s="23" t="s">
        <v>894</v>
      </c>
      <c r="G56" s="23">
        <v>805217300000</v>
      </c>
      <c r="H56" s="23" t="s">
        <v>895</v>
      </c>
      <c r="I56" s="26">
        <v>1.3420288333333299</v>
      </c>
      <c r="J56" s="23" t="s">
        <v>157</v>
      </c>
      <c r="K56" s="25" t="s">
        <v>120</v>
      </c>
      <c r="L56" s="23" t="s">
        <v>896</v>
      </c>
      <c r="M56" s="23" t="s">
        <v>897</v>
      </c>
      <c r="N56" s="23">
        <v>1.5</v>
      </c>
      <c r="O56" s="23" t="s">
        <v>240</v>
      </c>
      <c r="P56" s="27" t="s">
        <v>123</v>
      </c>
      <c r="Q56" s="27" t="s">
        <v>124</v>
      </c>
      <c r="R56" s="23" t="s">
        <v>125</v>
      </c>
      <c r="S56" s="23" t="s">
        <v>126</v>
      </c>
      <c r="T56" s="23" t="s">
        <v>398</v>
      </c>
      <c r="U56" s="23" t="s">
        <v>128</v>
      </c>
      <c r="V56" s="23" t="s">
        <v>129</v>
      </c>
      <c r="W56" s="23"/>
      <c r="X56" s="23">
        <v>128</v>
      </c>
      <c r="Y56" s="23" t="s">
        <v>898</v>
      </c>
      <c r="Z56" s="23" t="s">
        <v>157</v>
      </c>
      <c r="AA56" s="23" t="s">
        <v>120</v>
      </c>
      <c r="AB56" s="23" t="s">
        <v>896</v>
      </c>
      <c r="AC56" s="28" t="s">
        <v>899</v>
      </c>
      <c r="AD56" s="29">
        <v>1.4183039204257399</v>
      </c>
      <c r="AG56" s="30" t="s">
        <v>133</v>
      </c>
      <c r="AH56" s="36">
        <v>4566414</v>
      </c>
      <c r="AI56" s="35" t="s">
        <v>139</v>
      </c>
      <c r="AJ56" s="28" t="s">
        <v>906</v>
      </c>
      <c r="AK56" s="28" t="s">
        <v>119</v>
      </c>
      <c r="AL56" s="33" t="s">
        <v>907</v>
      </c>
      <c r="AM56" s="31">
        <v>141519</v>
      </c>
      <c r="AN56" s="32" t="s">
        <v>138</v>
      </c>
      <c r="AO56" s="34">
        <v>8.4000000000000005E-2</v>
      </c>
      <c r="AP56" s="35" t="s">
        <v>139</v>
      </c>
      <c r="AQ56" s="28" t="s">
        <v>908</v>
      </c>
      <c r="AR56" s="29" t="s">
        <v>119</v>
      </c>
      <c r="AS56" s="28" t="s">
        <v>907</v>
      </c>
    </row>
    <row r="57" spans="1:45" ht="142.5" customHeight="1">
      <c r="A57" s="23" t="s">
        <v>909</v>
      </c>
      <c r="B57" s="23" t="s">
        <v>910</v>
      </c>
      <c r="C57" s="24" t="s">
        <v>911</v>
      </c>
      <c r="D57" s="25" t="s">
        <v>115</v>
      </c>
      <c r="E57" s="23" t="s">
        <v>912</v>
      </c>
      <c r="F57" s="23" t="s">
        <v>913</v>
      </c>
      <c r="G57" s="23">
        <v>659411000000</v>
      </c>
      <c r="H57" s="23" t="s">
        <v>914</v>
      </c>
      <c r="I57" s="26">
        <v>1.0990183333333301</v>
      </c>
      <c r="J57" s="23" t="s">
        <v>445</v>
      </c>
      <c r="K57" s="25" t="s">
        <v>120</v>
      </c>
      <c r="L57" s="23" t="s">
        <v>915</v>
      </c>
      <c r="M57" s="23"/>
      <c r="N57" s="23">
        <v>1</v>
      </c>
      <c r="O57" s="23" t="s">
        <v>240</v>
      </c>
      <c r="P57" s="27" t="s">
        <v>123</v>
      </c>
      <c r="Q57" s="27" t="s">
        <v>124</v>
      </c>
      <c r="R57" s="23" t="s">
        <v>125</v>
      </c>
      <c r="S57" s="23" t="s">
        <v>126</v>
      </c>
      <c r="T57" s="23" t="s">
        <v>398</v>
      </c>
      <c r="U57" s="23" t="s">
        <v>128</v>
      </c>
      <c r="V57" s="23" t="s">
        <v>129</v>
      </c>
      <c r="W57" s="23"/>
      <c r="X57" s="23">
        <v>385</v>
      </c>
      <c r="Y57" s="23" t="s">
        <v>663</v>
      </c>
      <c r="Z57" s="23" t="s">
        <v>283</v>
      </c>
      <c r="AA57" s="23" t="s">
        <v>120</v>
      </c>
      <c r="AB57" s="23" t="s">
        <v>916</v>
      </c>
      <c r="AC57" s="28" t="s">
        <v>917</v>
      </c>
      <c r="AD57" s="29">
        <v>1.1614817596093101</v>
      </c>
      <c r="AG57" s="30" t="s">
        <v>133</v>
      </c>
      <c r="AH57" s="31">
        <f>G57/AM57</f>
        <v>2144844.5225084568</v>
      </c>
      <c r="AI57" s="32" t="s">
        <v>134</v>
      </c>
      <c r="AJ57" s="28" t="s">
        <v>160</v>
      </c>
      <c r="AK57" s="28" t="s">
        <v>136</v>
      </c>
      <c r="AL57" s="33" t="s">
        <v>915</v>
      </c>
      <c r="AM57" s="31">
        <v>307440</v>
      </c>
      <c r="AN57" s="32" t="s">
        <v>134</v>
      </c>
      <c r="AO57" s="38">
        <v>0.17100000000000001</v>
      </c>
      <c r="AP57" s="32" t="s">
        <v>138</v>
      </c>
      <c r="AQ57" s="28" t="s">
        <v>918</v>
      </c>
      <c r="AR57" s="29" t="s">
        <v>163</v>
      </c>
      <c r="AS57" s="28" t="s">
        <v>919</v>
      </c>
    </row>
    <row r="58" spans="1:45" ht="142.5" customHeight="1">
      <c r="A58" s="23" t="s">
        <v>920</v>
      </c>
      <c r="B58" s="23" t="s">
        <v>921</v>
      </c>
      <c r="C58" s="24" t="s">
        <v>922</v>
      </c>
      <c r="D58" s="25" t="s">
        <v>115</v>
      </c>
      <c r="E58" s="23" t="s">
        <v>923</v>
      </c>
      <c r="F58" s="23" t="s">
        <v>924</v>
      </c>
      <c r="G58" s="23">
        <v>26530000000</v>
      </c>
      <c r="H58" s="23" t="s">
        <v>925</v>
      </c>
      <c r="I58" s="26">
        <v>2.88369565217391E-2</v>
      </c>
      <c r="J58" s="23" t="s">
        <v>131</v>
      </c>
      <c r="K58" s="25" t="s">
        <v>120</v>
      </c>
      <c r="L58" s="23" t="s">
        <v>926</v>
      </c>
      <c r="M58" s="23"/>
      <c r="N58" s="23">
        <v>1.2</v>
      </c>
      <c r="O58" s="23" t="s">
        <v>240</v>
      </c>
      <c r="P58" s="27" t="s">
        <v>123</v>
      </c>
      <c r="Q58" s="27" t="s">
        <v>124</v>
      </c>
      <c r="R58" s="23" t="s">
        <v>125</v>
      </c>
      <c r="S58" s="23" t="s">
        <v>126</v>
      </c>
      <c r="T58" s="23" t="s">
        <v>398</v>
      </c>
      <c r="U58" s="23" t="s">
        <v>128</v>
      </c>
      <c r="V58" s="23" t="s">
        <v>129</v>
      </c>
      <c r="W58" s="23"/>
      <c r="X58" s="23">
        <v>21</v>
      </c>
      <c r="Y58" s="23" t="s">
        <v>927</v>
      </c>
      <c r="Z58" s="23" t="s">
        <v>462</v>
      </c>
      <c r="AA58" s="23" t="s">
        <v>149</v>
      </c>
      <c r="AB58" s="23" t="s">
        <v>928</v>
      </c>
      <c r="AC58" s="28" t="s">
        <v>929</v>
      </c>
      <c r="AD58" s="29">
        <v>2.8788715552716199E-2</v>
      </c>
      <c r="AG58" s="30" t="s">
        <v>133</v>
      </c>
      <c r="AH58" s="31">
        <v>48000</v>
      </c>
      <c r="AI58" s="32" t="s">
        <v>138</v>
      </c>
      <c r="AJ58" s="28" t="s">
        <v>492</v>
      </c>
      <c r="AK58" s="28" t="s">
        <v>136</v>
      </c>
      <c r="AL58" s="33" t="s">
        <v>493</v>
      </c>
      <c r="AM58" s="31">
        <f t="shared" ref="AM58:AM63" si="2">G58/AH58</f>
        <v>552708.33333333337</v>
      </c>
      <c r="AN58" s="32" t="s">
        <v>138</v>
      </c>
      <c r="AO58" s="38">
        <v>0.1</v>
      </c>
      <c r="AP58" s="32" t="s">
        <v>138</v>
      </c>
      <c r="AQ58" s="28" t="s">
        <v>930</v>
      </c>
      <c r="AR58" s="29" t="s">
        <v>272</v>
      </c>
      <c r="AS58" s="28" t="s">
        <v>273</v>
      </c>
    </row>
    <row r="59" spans="1:45" ht="142.5" customHeight="1">
      <c r="A59" s="23" t="s">
        <v>931</v>
      </c>
      <c r="B59" s="23" t="s">
        <v>932</v>
      </c>
      <c r="C59" s="24" t="s">
        <v>933</v>
      </c>
      <c r="D59" s="25" t="s">
        <v>115</v>
      </c>
      <c r="E59" s="23" t="s">
        <v>934</v>
      </c>
      <c r="F59" s="23" t="s">
        <v>935</v>
      </c>
      <c r="G59" s="23">
        <v>92175000000</v>
      </c>
      <c r="H59" s="23" t="s">
        <v>936</v>
      </c>
      <c r="I59" s="26">
        <v>1.440234375</v>
      </c>
      <c r="J59" s="23" t="s">
        <v>445</v>
      </c>
      <c r="K59" s="27" t="s">
        <v>149</v>
      </c>
      <c r="L59" s="23" t="s">
        <v>937</v>
      </c>
      <c r="M59" s="23"/>
      <c r="N59" s="23">
        <v>0.7</v>
      </c>
      <c r="O59" s="23" t="s">
        <v>240</v>
      </c>
      <c r="P59" s="27" t="s">
        <v>123</v>
      </c>
      <c r="Q59" s="27" t="s">
        <v>124</v>
      </c>
      <c r="R59" s="23" t="s">
        <v>660</v>
      </c>
      <c r="S59" s="23" t="s">
        <v>661</v>
      </c>
      <c r="T59" s="23" t="s">
        <v>398</v>
      </c>
      <c r="U59" s="23" t="s">
        <v>128</v>
      </c>
      <c r="V59" s="23" t="s">
        <v>662</v>
      </c>
      <c r="W59" s="23"/>
      <c r="X59" s="23">
        <v>3427</v>
      </c>
      <c r="Y59" s="23" t="s">
        <v>938</v>
      </c>
      <c r="Z59" s="23" t="s">
        <v>249</v>
      </c>
      <c r="AA59" s="23" t="s">
        <v>120</v>
      </c>
      <c r="AB59" s="23" t="s">
        <v>939</v>
      </c>
      <c r="AC59" s="28" t="s">
        <v>940</v>
      </c>
      <c r="AD59" s="29">
        <v>1.44799276548726</v>
      </c>
      <c r="AG59" s="37" t="s">
        <v>211</v>
      </c>
      <c r="AH59" s="31">
        <v>1211000</v>
      </c>
      <c r="AI59" s="32" t="s">
        <v>138</v>
      </c>
      <c r="AJ59" s="28" t="s">
        <v>941</v>
      </c>
      <c r="AK59" s="28" t="s">
        <v>213</v>
      </c>
      <c r="AL59" s="33" t="s">
        <v>942</v>
      </c>
      <c r="AM59" s="31">
        <f t="shared" si="2"/>
        <v>76114.78117258464</v>
      </c>
      <c r="AN59" s="32" t="s">
        <v>138</v>
      </c>
      <c r="AO59" s="38">
        <v>7.4700000000000003E-2</v>
      </c>
      <c r="AP59" s="32" t="s">
        <v>138</v>
      </c>
      <c r="AQ59" s="28" t="s">
        <v>943</v>
      </c>
      <c r="AR59" s="29" t="s">
        <v>148</v>
      </c>
      <c r="AS59" s="28" t="s">
        <v>944</v>
      </c>
    </row>
    <row r="60" spans="1:45" ht="85.5" customHeight="1">
      <c r="A60" s="23" t="s">
        <v>945</v>
      </c>
      <c r="B60" s="23" t="s">
        <v>946</v>
      </c>
      <c r="C60" s="24" t="s">
        <v>947</v>
      </c>
      <c r="D60" s="25" t="s">
        <v>115</v>
      </c>
      <c r="E60" s="23" t="s">
        <v>948</v>
      </c>
      <c r="F60" s="23" t="s">
        <v>949</v>
      </c>
      <c r="G60" s="23">
        <v>5100669400</v>
      </c>
      <c r="H60" s="23" t="s">
        <v>950</v>
      </c>
      <c r="I60" s="26">
        <v>0.18891368148148199</v>
      </c>
      <c r="J60" s="23" t="s">
        <v>951</v>
      </c>
      <c r="K60" s="27" t="s">
        <v>149</v>
      </c>
      <c r="L60" s="23" t="s">
        <v>952</v>
      </c>
      <c r="M60" s="23"/>
      <c r="N60" s="23">
        <v>0.5</v>
      </c>
      <c r="O60" s="23" t="s">
        <v>503</v>
      </c>
      <c r="P60" s="27" t="s">
        <v>123</v>
      </c>
      <c r="Q60" s="27" t="s">
        <v>124</v>
      </c>
      <c r="R60" s="23" t="s">
        <v>125</v>
      </c>
      <c r="S60" s="23" t="s">
        <v>126</v>
      </c>
      <c r="T60" s="23" t="s">
        <v>398</v>
      </c>
      <c r="U60" s="23" t="s">
        <v>128</v>
      </c>
      <c r="V60" s="23" t="s">
        <v>129</v>
      </c>
      <c r="W60" s="23"/>
      <c r="X60" s="23">
        <v>26</v>
      </c>
      <c r="Y60" s="23" t="s">
        <v>953</v>
      </c>
      <c r="Z60" s="23" t="s">
        <v>163</v>
      </c>
      <c r="AA60" s="23" t="s">
        <v>120</v>
      </c>
      <c r="AB60" s="23" t="s">
        <v>954</v>
      </c>
      <c r="AC60" s="28" t="s">
        <v>955</v>
      </c>
      <c r="AD60" s="29">
        <v>0.270754146148452</v>
      </c>
      <c r="AG60" s="30" t="s">
        <v>133</v>
      </c>
      <c r="AH60" s="36">
        <v>193498</v>
      </c>
      <c r="AI60" s="35" t="s">
        <v>139</v>
      </c>
      <c r="AJ60" s="28" t="s">
        <v>956</v>
      </c>
      <c r="AK60" s="28" t="s">
        <v>646</v>
      </c>
      <c r="AL60" s="33" t="s">
        <v>957</v>
      </c>
      <c r="AM60" s="36">
        <f t="shared" si="2"/>
        <v>26360.321036909943</v>
      </c>
      <c r="AN60" s="35" t="s">
        <v>139</v>
      </c>
      <c r="AO60" s="38">
        <v>0.16200000000000001</v>
      </c>
      <c r="AP60" s="32" t="s">
        <v>138</v>
      </c>
      <c r="AQ60" s="28" t="s">
        <v>958</v>
      </c>
      <c r="AR60" s="29" t="s">
        <v>148</v>
      </c>
      <c r="AS60" s="28" t="s">
        <v>959</v>
      </c>
    </row>
    <row r="61" spans="1:45" ht="142.5" customHeight="1">
      <c r="A61" s="23" t="s">
        <v>960</v>
      </c>
      <c r="B61" s="23" t="s">
        <v>961</v>
      </c>
      <c r="C61" s="24" t="s">
        <v>962</v>
      </c>
      <c r="D61" s="25" t="s">
        <v>115</v>
      </c>
      <c r="E61" s="23" t="s">
        <v>963</v>
      </c>
      <c r="F61" s="23" t="s">
        <v>964</v>
      </c>
      <c r="G61" s="23">
        <v>7190000000</v>
      </c>
      <c r="H61" s="23" t="s">
        <v>965</v>
      </c>
      <c r="I61" s="26">
        <v>0.27132075471698103</v>
      </c>
      <c r="J61" s="23" t="s">
        <v>283</v>
      </c>
      <c r="K61" s="25" t="s">
        <v>120</v>
      </c>
      <c r="L61" s="23" t="s">
        <v>966</v>
      </c>
      <c r="M61" s="23"/>
      <c r="N61" s="23">
        <v>0.3</v>
      </c>
      <c r="O61" s="23" t="s">
        <v>240</v>
      </c>
      <c r="P61" s="27" t="s">
        <v>123</v>
      </c>
      <c r="Q61" s="27" t="s">
        <v>124</v>
      </c>
      <c r="R61" s="23" t="s">
        <v>125</v>
      </c>
      <c r="S61" s="23" t="s">
        <v>126</v>
      </c>
      <c r="T61" s="23" t="s">
        <v>398</v>
      </c>
      <c r="U61" s="23" t="s">
        <v>128</v>
      </c>
      <c r="V61" s="23" t="s">
        <v>129</v>
      </c>
      <c r="W61" s="23"/>
      <c r="X61" s="23">
        <v>268</v>
      </c>
      <c r="Y61" s="23" t="s">
        <v>967</v>
      </c>
      <c r="Z61" s="23" t="s">
        <v>445</v>
      </c>
      <c r="AA61" s="23" t="s">
        <v>120</v>
      </c>
      <c r="AB61" s="23" t="s">
        <v>968</v>
      </c>
      <c r="AC61" s="28" t="s">
        <v>969</v>
      </c>
      <c r="AD61" s="29">
        <v>0.27026112712797801</v>
      </c>
      <c r="AG61" s="30" t="s">
        <v>133</v>
      </c>
      <c r="AH61" s="36">
        <v>422358</v>
      </c>
      <c r="AI61" s="35" t="s">
        <v>139</v>
      </c>
      <c r="AJ61" s="28" t="s">
        <v>970</v>
      </c>
      <c r="AK61" s="28" t="s">
        <v>148</v>
      </c>
      <c r="AL61" s="33" t="s">
        <v>966</v>
      </c>
      <c r="AM61" s="36">
        <f t="shared" si="2"/>
        <v>17023.472977900266</v>
      </c>
      <c r="AN61" s="35" t="s">
        <v>139</v>
      </c>
      <c r="AO61" s="34">
        <v>0.10680000000000001</v>
      </c>
      <c r="AP61" s="35" t="s">
        <v>139</v>
      </c>
      <c r="AQ61" s="28" t="s">
        <v>971</v>
      </c>
      <c r="AR61" s="29" t="s">
        <v>148</v>
      </c>
      <c r="AS61" s="28" t="s">
        <v>966</v>
      </c>
    </row>
    <row r="62" spans="1:45" ht="142.5" customHeight="1">
      <c r="A62" s="23" t="s">
        <v>972</v>
      </c>
      <c r="B62" s="23" t="s">
        <v>973</v>
      </c>
      <c r="C62" s="24" t="s">
        <v>974</v>
      </c>
      <c r="D62" s="25" t="s">
        <v>115</v>
      </c>
      <c r="E62" s="23" t="s">
        <v>975</v>
      </c>
      <c r="F62" s="23" t="s">
        <v>976</v>
      </c>
      <c r="G62" s="23">
        <v>8500000000</v>
      </c>
      <c r="H62" s="23" t="s">
        <v>977</v>
      </c>
      <c r="I62" s="26">
        <v>0.60844667143879705</v>
      </c>
      <c r="J62" s="23" t="s">
        <v>445</v>
      </c>
      <c r="K62" s="25" t="s">
        <v>120</v>
      </c>
      <c r="L62" s="23" t="s">
        <v>978</v>
      </c>
      <c r="M62" s="23"/>
      <c r="N62" s="23">
        <v>1</v>
      </c>
      <c r="O62" s="23" t="s">
        <v>240</v>
      </c>
      <c r="P62" s="27" t="s">
        <v>123</v>
      </c>
      <c r="Q62" s="27" t="s">
        <v>124</v>
      </c>
      <c r="R62" s="23" t="s">
        <v>152</v>
      </c>
      <c r="S62" s="23" t="s">
        <v>153</v>
      </c>
      <c r="T62" s="23" t="s">
        <v>398</v>
      </c>
      <c r="U62" s="23" t="s">
        <v>128</v>
      </c>
      <c r="V62" s="23" t="s">
        <v>155</v>
      </c>
      <c r="W62" s="23"/>
      <c r="X62" s="23">
        <v>407</v>
      </c>
      <c r="Y62" s="23" t="s">
        <v>979</v>
      </c>
      <c r="Z62" s="23" t="s">
        <v>980</v>
      </c>
      <c r="AA62" s="23" t="s">
        <v>120</v>
      </c>
      <c r="AB62" s="23" t="s">
        <v>981</v>
      </c>
      <c r="AC62" s="40" t="s">
        <v>982</v>
      </c>
      <c r="AD62" s="29">
        <v>0.63039025384035596</v>
      </c>
      <c r="AG62" s="30" t="s">
        <v>133</v>
      </c>
      <c r="AH62" s="31">
        <v>224000</v>
      </c>
      <c r="AI62" s="32" t="s">
        <v>138</v>
      </c>
      <c r="AJ62" s="28" t="s">
        <v>492</v>
      </c>
      <c r="AK62" s="28" t="s">
        <v>136</v>
      </c>
      <c r="AL62" s="33" t="s">
        <v>493</v>
      </c>
      <c r="AM62" s="31">
        <f t="shared" si="2"/>
        <v>37946.428571428572</v>
      </c>
      <c r="AN62" s="32" t="s">
        <v>138</v>
      </c>
      <c r="AO62" s="38">
        <v>0.17</v>
      </c>
      <c r="AP62" s="32" t="s">
        <v>138</v>
      </c>
      <c r="AQ62" s="28" t="s">
        <v>983</v>
      </c>
      <c r="AR62" s="29" t="s">
        <v>272</v>
      </c>
      <c r="AS62" s="28" t="s">
        <v>273</v>
      </c>
    </row>
    <row r="63" spans="1:45" ht="142.5" customHeight="1">
      <c r="A63" s="23" t="s">
        <v>984</v>
      </c>
      <c r="B63" s="23" t="s">
        <v>985</v>
      </c>
      <c r="C63" s="24" t="s">
        <v>986</v>
      </c>
      <c r="D63" s="25" t="s">
        <v>115</v>
      </c>
      <c r="E63" s="23" t="s">
        <v>987</v>
      </c>
      <c r="F63" s="23" t="s">
        <v>988</v>
      </c>
      <c r="G63" s="23">
        <v>7500000000</v>
      </c>
      <c r="H63" s="23" t="s">
        <v>989</v>
      </c>
      <c r="I63" s="26">
        <v>0.41666666666666702</v>
      </c>
      <c r="J63" s="23" t="s">
        <v>283</v>
      </c>
      <c r="K63" s="27" t="s">
        <v>149</v>
      </c>
      <c r="L63" s="23" t="s">
        <v>990</v>
      </c>
      <c r="M63" s="23"/>
      <c r="N63" s="23">
        <v>1.5</v>
      </c>
      <c r="O63" s="23" t="s">
        <v>240</v>
      </c>
      <c r="P63" s="27" t="s">
        <v>123</v>
      </c>
      <c r="Q63" s="27" t="s">
        <v>124</v>
      </c>
      <c r="R63" s="23" t="s">
        <v>125</v>
      </c>
      <c r="S63" s="23" t="s">
        <v>126</v>
      </c>
      <c r="T63" s="23" t="s">
        <v>398</v>
      </c>
      <c r="U63" s="23" t="s">
        <v>128</v>
      </c>
      <c r="V63" s="23" t="s">
        <v>129</v>
      </c>
      <c r="W63" s="23"/>
      <c r="X63" s="23">
        <v>958</v>
      </c>
      <c r="Y63" s="23" t="s">
        <v>991</v>
      </c>
      <c r="Z63" s="23" t="s">
        <v>992</v>
      </c>
      <c r="AA63" s="23" t="s">
        <v>149</v>
      </c>
      <c r="AB63" s="23" t="s">
        <v>990</v>
      </c>
      <c r="AC63" s="28" t="s">
        <v>993</v>
      </c>
      <c r="AD63" s="29">
        <v>0.46398332530539099</v>
      </c>
      <c r="AG63" s="30" t="s">
        <v>133</v>
      </c>
      <c r="AH63" s="36">
        <v>259266</v>
      </c>
      <c r="AI63" s="35" t="s">
        <v>139</v>
      </c>
      <c r="AJ63" s="28" t="s">
        <v>994</v>
      </c>
      <c r="AK63" s="28" t="s">
        <v>462</v>
      </c>
      <c r="AL63" s="33" t="s">
        <v>995</v>
      </c>
      <c r="AM63" s="36">
        <f t="shared" si="2"/>
        <v>28927.819305269491</v>
      </c>
      <c r="AN63" s="35" t="s">
        <v>139</v>
      </c>
      <c r="AO63" s="38">
        <v>0.17</v>
      </c>
      <c r="AP63" s="32" t="s">
        <v>138</v>
      </c>
      <c r="AQ63" s="28" t="s">
        <v>996</v>
      </c>
      <c r="AR63" s="29" t="s">
        <v>997</v>
      </c>
      <c r="AS63" s="28" t="s">
        <v>998</v>
      </c>
    </row>
    <row r="64" spans="1:45" ht="142.5" customHeight="1">
      <c r="A64" s="23" t="s">
        <v>999</v>
      </c>
      <c r="B64" s="23" t="s">
        <v>1000</v>
      </c>
      <c r="C64" s="24" t="s">
        <v>1001</v>
      </c>
      <c r="D64" s="25" t="s">
        <v>115</v>
      </c>
      <c r="E64" s="23" t="s">
        <v>1002</v>
      </c>
      <c r="F64" s="23" t="s">
        <v>1003</v>
      </c>
      <c r="G64" s="23">
        <f>AE64-AF64</f>
        <v>39810000000</v>
      </c>
      <c r="H64" s="23" t="s">
        <v>1004</v>
      </c>
      <c r="I64" s="26">
        <v>0.88466666666666705</v>
      </c>
      <c r="J64" s="23" t="s">
        <v>1005</v>
      </c>
      <c r="K64" s="25" t="s">
        <v>120</v>
      </c>
      <c r="L64" s="23" t="s">
        <v>1006</v>
      </c>
      <c r="M64" s="23"/>
      <c r="N64" s="23">
        <v>2.5</v>
      </c>
      <c r="O64" s="23" t="s">
        <v>240</v>
      </c>
      <c r="P64" s="27" t="s">
        <v>123</v>
      </c>
      <c r="Q64" s="27" t="s">
        <v>124</v>
      </c>
      <c r="R64" s="23" t="s">
        <v>152</v>
      </c>
      <c r="S64" s="23" t="s">
        <v>153</v>
      </c>
      <c r="T64" s="23" t="s">
        <v>398</v>
      </c>
      <c r="U64" s="23" t="s">
        <v>128</v>
      </c>
      <c r="V64" s="23" t="s">
        <v>155</v>
      </c>
      <c r="W64" s="23"/>
      <c r="X64" s="23">
        <v>6</v>
      </c>
      <c r="Y64" s="23" t="s">
        <v>1007</v>
      </c>
      <c r="Z64" s="23" t="s">
        <v>175</v>
      </c>
      <c r="AA64" s="23" t="s">
        <v>120</v>
      </c>
      <c r="AB64" s="23" t="s">
        <v>1008</v>
      </c>
      <c r="AC64" s="40" t="s">
        <v>1009</v>
      </c>
      <c r="AD64" s="29">
        <v>0.84659315263719404</v>
      </c>
      <c r="AE64" s="41">
        <v>59189000000</v>
      </c>
      <c r="AF64" s="41">
        <v>19379000000</v>
      </c>
      <c r="AG64" s="30" t="s">
        <v>133</v>
      </c>
      <c r="AH64" s="31">
        <f>G64/AM64</f>
        <v>263490.57165738946</v>
      </c>
      <c r="AI64" s="32" t="s">
        <v>134</v>
      </c>
      <c r="AJ64" s="28" t="s">
        <v>160</v>
      </c>
      <c r="AK64" s="28" t="s">
        <v>136</v>
      </c>
      <c r="AL64" s="33" t="s">
        <v>1010</v>
      </c>
      <c r="AM64" s="31">
        <v>151087</v>
      </c>
      <c r="AN64" s="32" t="s">
        <v>134</v>
      </c>
      <c r="AO64" s="38">
        <v>2.7E-2</v>
      </c>
      <c r="AP64" s="32" t="s">
        <v>138</v>
      </c>
      <c r="AQ64" s="28" t="s">
        <v>1011</v>
      </c>
      <c r="AR64" s="29" t="s">
        <v>163</v>
      </c>
      <c r="AS64" s="28" t="s">
        <v>1010</v>
      </c>
    </row>
    <row r="65" spans="1:45" ht="99.75" customHeight="1">
      <c r="A65" s="23" t="s">
        <v>1012</v>
      </c>
      <c r="B65" s="23" t="s">
        <v>1013</v>
      </c>
      <c r="C65" s="24" t="s">
        <v>1014</v>
      </c>
      <c r="D65" s="25" t="s">
        <v>115</v>
      </c>
      <c r="E65" s="23" t="s">
        <v>499</v>
      </c>
      <c r="F65" s="23" t="s">
        <v>1015</v>
      </c>
      <c r="G65" s="23">
        <v>769477025679.52002</v>
      </c>
      <c r="H65" s="23" t="s">
        <v>1016</v>
      </c>
      <c r="I65" s="26">
        <v>0.170994894595449</v>
      </c>
      <c r="J65" s="23" t="s">
        <v>951</v>
      </c>
      <c r="K65" s="27" t="s">
        <v>120</v>
      </c>
      <c r="L65" s="23" t="s">
        <v>1017</v>
      </c>
      <c r="M65" s="23"/>
      <c r="N65" s="23">
        <v>0.4</v>
      </c>
      <c r="O65" s="23" t="s">
        <v>503</v>
      </c>
      <c r="P65" s="27" t="s">
        <v>123</v>
      </c>
      <c r="Q65" s="27" t="s">
        <v>124</v>
      </c>
      <c r="R65" s="23" t="s">
        <v>660</v>
      </c>
      <c r="S65" s="23" t="s">
        <v>661</v>
      </c>
      <c r="T65" s="23" t="s">
        <v>398</v>
      </c>
      <c r="U65" s="23" t="s">
        <v>128</v>
      </c>
      <c r="V65" s="23" t="s">
        <v>662</v>
      </c>
      <c r="W65" s="23"/>
      <c r="X65" s="23">
        <v>16</v>
      </c>
      <c r="Y65" s="23" t="s">
        <v>885</v>
      </c>
      <c r="Z65" s="23" t="s">
        <v>1018</v>
      </c>
      <c r="AA65" s="23" t="s">
        <v>149</v>
      </c>
      <c r="AB65" s="23" t="s">
        <v>1019</v>
      </c>
      <c r="AC65" s="40" t="s">
        <v>1020</v>
      </c>
      <c r="AD65" s="29">
        <v>0.17816661248195101</v>
      </c>
      <c r="AG65" s="30" t="s">
        <v>133</v>
      </c>
      <c r="AH65" s="36">
        <v>288989</v>
      </c>
      <c r="AI65" s="35" t="s">
        <v>139</v>
      </c>
      <c r="AJ65" s="28" t="s">
        <v>1021</v>
      </c>
      <c r="AK65" s="28" t="s">
        <v>664</v>
      </c>
      <c r="AL65" s="33" t="s">
        <v>1022</v>
      </c>
      <c r="AM65" s="36">
        <f>G65/AH65</f>
        <v>2662651.6084678657</v>
      </c>
      <c r="AN65" s="35" t="s">
        <v>139</v>
      </c>
      <c r="AO65" s="38">
        <v>6.5000000000000002E-2</v>
      </c>
      <c r="AP65" s="32" t="s">
        <v>138</v>
      </c>
      <c r="AQ65" s="28" t="s">
        <v>1023</v>
      </c>
      <c r="AR65" s="29" t="s">
        <v>272</v>
      </c>
      <c r="AS65" s="28" t="s">
        <v>273</v>
      </c>
    </row>
    <row r="66" spans="1:45" ht="142.5" customHeight="1">
      <c r="A66" s="23" t="s">
        <v>1024</v>
      </c>
      <c r="B66" s="23" t="s">
        <v>1025</v>
      </c>
      <c r="C66" s="24" t="s">
        <v>1026</v>
      </c>
      <c r="D66" s="25" t="s">
        <v>115</v>
      </c>
      <c r="E66" s="23" t="s">
        <v>893</v>
      </c>
      <c r="F66" s="23" t="s">
        <v>894</v>
      </c>
      <c r="G66" s="23">
        <v>246984300000</v>
      </c>
      <c r="H66" s="23" t="s">
        <v>895</v>
      </c>
      <c r="I66" s="26">
        <v>0.41164050000000002</v>
      </c>
      <c r="J66" s="23" t="s">
        <v>157</v>
      </c>
      <c r="K66" s="25" t="s">
        <v>120</v>
      </c>
      <c r="L66" s="23" t="s">
        <v>896</v>
      </c>
      <c r="M66" s="23" t="s">
        <v>897</v>
      </c>
      <c r="N66" s="23">
        <v>0.5</v>
      </c>
      <c r="O66" s="23" t="s">
        <v>240</v>
      </c>
      <c r="P66" s="27" t="s">
        <v>123</v>
      </c>
      <c r="Q66" s="27" t="s">
        <v>124</v>
      </c>
      <c r="R66" s="23" t="s">
        <v>125</v>
      </c>
      <c r="S66" s="23" t="s">
        <v>126</v>
      </c>
      <c r="T66" s="23" t="s">
        <v>398</v>
      </c>
      <c r="U66" s="23" t="s">
        <v>128</v>
      </c>
      <c r="V66" s="23" t="s">
        <v>129</v>
      </c>
      <c r="W66" s="23"/>
      <c r="X66" s="23">
        <v>53</v>
      </c>
      <c r="Y66" s="23" t="s">
        <v>898</v>
      </c>
      <c r="Z66" s="23" t="s">
        <v>157</v>
      </c>
      <c r="AA66" s="23" t="s">
        <v>120</v>
      </c>
      <c r="AB66" s="23" t="s">
        <v>896</v>
      </c>
      <c r="AC66" s="28" t="s">
        <v>899</v>
      </c>
      <c r="AD66" s="29">
        <v>0.43503635723376499</v>
      </c>
      <c r="AG66" s="30" t="s">
        <v>133</v>
      </c>
      <c r="AH66" s="31">
        <v>1785000</v>
      </c>
      <c r="AI66" s="32" t="s">
        <v>138</v>
      </c>
      <c r="AJ66" s="28" t="s">
        <v>1027</v>
      </c>
      <c r="AK66" s="28" t="s">
        <v>222</v>
      </c>
      <c r="AL66" s="33" t="s">
        <v>1028</v>
      </c>
      <c r="AM66" s="31">
        <f>G66/AH66</f>
        <v>138366.55462184874</v>
      </c>
      <c r="AN66" s="32" t="s">
        <v>138</v>
      </c>
      <c r="AO66" s="38">
        <v>7.4999999999999997E-2</v>
      </c>
      <c r="AP66" s="32" t="s">
        <v>138</v>
      </c>
      <c r="AQ66" s="28" t="s">
        <v>1029</v>
      </c>
      <c r="AR66" s="29" t="s">
        <v>148</v>
      </c>
      <c r="AS66" s="28" t="s">
        <v>1030</v>
      </c>
    </row>
    <row r="67" spans="1:45" ht="142.5" customHeight="1">
      <c r="A67" s="23" t="s">
        <v>1031</v>
      </c>
      <c r="B67" s="23" t="s">
        <v>1032</v>
      </c>
      <c r="C67" s="24" t="s">
        <v>1033</v>
      </c>
      <c r="D67" s="25" t="s">
        <v>115</v>
      </c>
      <c r="E67" s="23" t="s">
        <v>893</v>
      </c>
      <c r="F67" s="23" t="s">
        <v>894</v>
      </c>
      <c r="G67" s="23">
        <v>428265500000</v>
      </c>
      <c r="H67" s="23" t="s">
        <v>895</v>
      </c>
      <c r="I67" s="26">
        <v>0.71377583333333305</v>
      </c>
      <c r="J67" s="23" t="s">
        <v>157</v>
      </c>
      <c r="K67" s="25" t="s">
        <v>120</v>
      </c>
      <c r="L67" s="23" t="s">
        <v>896</v>
      </c>
      <c r="M67" s="23" t="s">
        <v>897</v>
      </c>
      <c r="N67" s="23">
        <v>0.4</v>
      </c>
      <c r="O67" s="23" t="s">
        <v>240</v>
      </c>
      <c r="P67" s="27" t="s">
        <v>123</v>
      </c>
      <c r="Q67" s="27" t="s">
        <v>124</v>
      </c>
      <c r="R67" s="23" t="s">
        <v>660</v>
      </c>
      <c r="S67" s="23" t="s">
        <v>661</v>
      </c>
      <c r="T67" s="23" t="s">
        <v>398</v>
      </c>
      <c r="U67" s="23" t="s">
        <v>128</v>
      </c>
      <c r="V67" s="23" t="s">
        <v>662</v>
      </c>
      <c r="W67" s="23"/>
      <c r="X67" s="23">
        <v>73</v>
      </c>
      <c r="Y67" s="23" t="s">
        <v>898</v>
      </c>
      <c r="Z67" s="23" t="s">
        <v>157</v>
      </c>
      <c r="AA67" s="23" t="s">
        <v>120</v>
      </c>
      <c r="AB67" s="23" t="s">
        <v>896</v>
      </c>
      <c r="AC67" s="28" t="s">
        <v>899</v>
      </c>
      <c r="AD67" s="29">
        <v>0.75434374998288201</v>
      </c>
      <c r="AG67" s="30" t="s">
        <v>133</v>
      </c>
      <c r="AH67" s="31">
        <v>3094000</v>
      </c>
      <c r="AI67" s="32" t="s">
        <v>138</v>
      </c>
      <c r="AJ67" s="28" t="s">
        <v>1027</v>
      </c>
      <c r="AK67" s="28" t="s">
        <v>222</v>
      </c>
      <c r="AL67" s="33" t="s">
        <v>1028</v>
      </c>
      <c r="AM67" s="31">
        <f>G67/AH67</f>
        <v>138418.06722689077</v>
      </c>
      <c r="AN67" s="32" t="s">
        <v>138</v>
      </c>
      <c r="AO67" s="38">
        <v>7.4999999999999997E-2</v>
      </c>
      <c r="AP67" s="32" t="s">
        <v>138</v>
      </c>
      <c r="AQ67" s="28" t="s">
        <v>1029</v>
      </c>
      <c r="AR67" s="29" t="s">
        <v>148</v>
      </c>
      <c r="AS67" s="28" t="s">
        <v>1030</v>
      </c>
    </row>
    <row r="68" spans="1:45" ht="142.5" customHeight="1">
      <c r="A68" s="23" t="s">
        <v>1034</v>
      </c>
      <c r="B68" s="23" t="s">
        <v>1035</v>
      </c>
      <c r="C68" s="24" t="s">
        <v>1036</v>
      </c>
      <c r="D68" s="25" t="s">
        <v>115</v>
      </c>
      <c r="E68" s="23" t="s">
        <v>893</v>
      </c>
      <c r="F68" s="23" t="s">
        <v>894</v>
      </c>
      <c r="G68" s="23">
        <v>203501200000</v>
      </c>
      <c r="H68" s="23" t="s">
        <v>895</v>
      </c>
      <c r="I68" s="26">
        <v>0.33916866666666701</v>
      </c>
      <c r="J68" s="23" t="s">
        <v>157</v>
      </c>
      <c r="K68" s="25" t="s">
        <v>120</v>
      </c>
      <c r="L68" s="23" t="s">
        <v>896</v>
      </c>
      <c r="M68" s="23" t="s">
        <v>897</v>
      </c>
      <c r="N68" s="23">
        <v>0.4</v>
      </c>
      <c r="O68" s="23" t="s">
        <v>240</v>
      </c>
      <c r="P68" s="27" t="s">
        <v>123</v>
      </c>
      <c r="Q68" s="27" t="s">
        <v>124</v>
      </c>
      <c r="R68" s="23" t="s">
        <v>660</v>
      </c>
      <c r="S68" s="23" t="s">
        <v>661</v>
      </c>
      <c r="T68" s="23" t="s">
        <v>398</v>
      </c>
      <c r="U68" s="23" t="s">
        <v>128</v>
      </c>
      <c r="V68" s="23" t="s">
        <v>662</v>
      </c>
      <c r="W68" s="23"/>
      <c r="X68" s="23">
        <v>116</v>
      </c>
      <c r="Y68" s="23" t="s">
        <v>898</v>
      </c>
      <c r="Z68" s="23" t="s">
        <v>157</v>
      </c>
      <c r="AA68" s="23" t="s">
        <v>120</v>
      </c>
      <c r="AB68" s="23" t="s">
        <v>896</v>
      </c>
      <c r="AC68" s="28" t="s">
        <v>899</v>
      </c>
      <c r="AD68" s="29">
        <v>0.358445539820547</v>
      </c>
      <c r="AG68" s="30" t="s">
        <v>133</v>
      </c>
      <c r="AH68" s="31">
        <v>1470000</v>
      </c>
      <c r="AI68" s="32" t="s">
        <v>138</v>
      </c>
      <c r="AJ68" s="28" t="s">
        <v>1027</v>
      </c>
      <c r="AK68" s="28" t="s">
        <v>222</v>
      </c>
      <c r="AL68" s="33" t="s">
        <v>1028</v>
      </c>
      <c r="AM68" s="31">
        <f>G68/AH68</f>
        <v>138436.19047619047</v>
      </c>
      <c r="AN68" s="32" t="s">
        <v>138</v>
      </c>
      <c r="AO68" s="38">
        <v>7.4999999999999997E-2</v>
      </c>
      <c r="AP68" s="32" t="s">
        <v>138</v>
      </c>
      <c r="AQ68" s="28" t="s">
        <v>1029</v>
      </c>
      <c r="AR68" s="29" t="s">
        <v>148</v>
      </c>
      <c r="AS68" s="28" t="s">
        <v>1030</v>
      </c>
    </row>
    <row r="69" spans="1:45" ht="114" customHeight="1">
      <c r="A69" s="23" t="s">
        <v>1037</v>
      </c>
      <c r="B69" s="23" t="s">
        <v>1038</v>
      </c>
      <c r="C69" s="24" t="s">
        <v>1039</v>
      </c>
      <c r="D69" s="25" t="s">
        <v>115</v>
      </c>
      <c r="E69" s="23" t="s">
        <v>499</v>
      </c>
      <c r="F69" s="23" t="s">
        <v>1040</v>
      </c>
      <c r="G69" s="23">
        <v>369000000</v>
      </c>
      <c r="H69" s="23" t="s">
        <v>750</v>
      </c>
      <c r="I69" s="26">
        <v>0.36899999999999999</v>
      </c>
      <c r="J69" s="23" t="s">
        <v>951</v>
      </c>
      <c r="K69" s="27" t="s">
        <v>149</v>
      </c>
      <c r="L69" s="23" t="s">
        <v>1041</v>
      </c>
      <c r="M69" s="23"/>
      <c r="N69" s="23">
        <v>0.6</v>
      </c>
      <c r="O69" s="23" t="s">
        <v>503</v>
      </c>
      <c r="P69" s="27" t="s">
        <v>123</v>
      </c>
      <c r="Q69" s="27" t="s">
        <v>124</v>
      </c>
      <c r="R69" s="23" t="s">
        <v>660</v>
      </c>
      <c r="S69" s="23" t="s">
        <v>661</v>
      </c>
      <c r="T69" s="23" t="s">
        <v>398</v>
      </c>
      <c r="U69" s="23" t="s">
        <v>128</v>
      </c>
      <c r="V69" s="23" t="s">
        <v>662</v>
      </c>
      <c r="W69" s="23"/>
      <c r="X69" s="23">
        <v>116</v>
      </c>
      <c r="Y69" s="23" t="s">
        <v>663</v>
      </c>
      <c r="Z69" s="23" t="s">
        <v>148</v>
      </c>
      <c r="AA69" s="23" t="s">
        <v>149</v>
      </c>
      <c r="AB69" s="23" t="s">
        <v>1042</v>
      </c>
      <c r="AC69" s="28" t="s">
        <v>1043</v>
      </c>
      <c r="AD69" s="29">
        <v>0.36899999999999999</v>
      </c>
      <c r="AG69" s="30" t="s">
        <v>133</v>
      </c>
      <c r="AH69" s="31">
        <v>615000</v>
      </c>
      <c r="AI69" s="32" t="s">
        <v>138</v>
      </c>
      <c r="AJ69" s="28" t="s">
        <v>492</v>
      </c>
      <c r="AK69" s="28" t="s">
        <v>136</v>
      </c>
      <c r="AL69" s="33" t="s">
        <v>493</v>
      </c>
      <c r="AM69" s="31">
        <f>G69/AH69</f>
        <v>600</v>
      </c>
      <c r="AN69" s="32" t="s">
        <v>138</v>
      </c>
      <c r="AO69" s="38">
        <v>0.1</v>
      </c>
      <c r="AP69" s="32" t="s">
        <v>138</v>
      </c>
      <c r="AQ69" s="28" t="s">
        <v>1044</v>
      </c>
      <c r="AR69" s="29" t="s">
        <v>272</v>
      </c>
      <c r="AS69" s="28" t="s">
        <v>273</v>
      </c>
    </row>
    <row r="70" spans="1:45" ht="142.5" customHeight="1">
      <c r="A70" s="23" t="s">
        <v>1045</v>
      </c>
      <c r="B70" s="23" t="s">
        <v>1046</v>
      </c>
      <c r="C70" s="24" t="s">
        <v>1047</v>
      </c>
      <c r="D70" s="25" t="s">
        <v>115</v>
      </c>
      <c r="E70" s="23" t="s">
        <v>912</v>
      </c>
      <c r="F70" s="23" t="s">
        <v>913</v>
      </c>
      <c r="G70" s="23">
        <v>112302000000</v>
      </c>
      <c r="H70" s="23" t="s">
        <v>914</v>
      </c>
      <c r="I70" s="26">
        <v>0.18717</v>
      </c>
      <c r="J70" s="23" t="s">
        <v>445</v>
      </c>
      <c r="K70" s="25" t="s">
        <v>120</v>
      </c>
      <c r="L70" s="23" t="s">
        <v>915</v>
      </c>
      <c r="M70" s="23"/>
      <c r="N70" s="23">
        <v>0.5</v>
      </c>
      <c r="O70" s="23" t="s">
        <v>240</v>
      </c>
      <c r="P70" s="27" t="s">
        <v>123</v>
      </c>
      <c r="Q70" s="27" t="s">
        <v>124</v>
      </c>
      <c r="R70" s="23" t="s">
        <v>152</v>
      </c>
      <c r="S70" s="23" t="s">
        <v>153</v>
      </c>
      <c r="T70" s="23" t="s">
        <v>398</v>
      </c>
      <c r="U70" s="23" t="s">
        <v>128</v>
      </c>
      <c r="V70" s="23" t="s">
        <v>155</v>
      </c>
      <c r="W70" s="23"/>
      <c r="X70" s="23">
        <v>18</v>
      </c>
      <c r="Y70" s="23" t="s">
        <v>885</v>
      </c>
      <c r="Z70" s="23" t="s">
        <v>646</v>
      </c>
      <c r="AA70" s="23" t="s">
        <v>120</v>
      </c>
      <c r="AB70" s="23" t="s">
        <v>915</v>
      </c>
      <c r="AC70" s="28" t="s">
        <v>917</v>
      </c>
      <c r="AD70" s="29">
        <v>0.19780792945165501</v>
      </c>
      <c r="AG70" s="30" t="s">
        <v>133</v>
      </c>
      <c r="AH70" s="31">
        <f>G70/AM70</f>
        <v>81222.877972574206</v>
      </c>
      <c r="AI70" s="32" t="s">
        <v>134</v>
      </c>
      <c r="AJ70" s="28" t="s">
        <v>160</v>
      </c>
      <c r="AK70" s="28" t="s">
        <v>136</v>
      </c>
      <c r="AL70" s="33" t="s">
        <v>1048</v>
      </c>
      <c r="AM70" s="31">
        <v>1382640</v>
      </c>
      <c r="AN70" s="32" t="s">
        <v>134</v>
      </c>
      <c r="AO70" s="38">
        <v>0.17100000000000001</v>
      </c>
      <c r="AP70" s="32" t="s">
        <v>138</v>
      </c>
      <c r="AQ70" s="28" t="s">
        <v>918</v>
      </c>
      <c r="AR70" s="29" t="s">
        <v>163</v>
      </c>
      <c r="AS70" s="28" t="s">
        <v>919</v>
      </c>
    </row>
    <row r="71" spans="1:45" ht="99.75" customHeight="1">
      <c r="A71" s="23" t="s">
        <v>1049</v>
      </c>
      <c r="B71" s="23" t="s">
        <v>1050</v>
      </c>
      <c r="C71" s="24" t="s">
        <v>1051</v>
      </c>
      <c r="D71" s="25" t="s">
        <v>115</v>
      </c>
      <c r="E71" s="23" t="s">
        <v>1052</v>
      </c>
      <c r="F71" s="23" t="s">
        <v>1053</v>
      </c>
      <c r="G71" s="23">
        <v>924000000000</v>
      </c>
      <c r="H71" s="23" t="s">
        <v>750</v>
      </c>
      <c r="I71" s="26">
        <v>924</v>
      </c>
      <c r="J71" s="23" t="s">
        <v>563</v>
      </c>
      <c r="K71" s="25" t="s">
        <v>120</v>
      </c>
      <c r="L71" s="23" t="s">
        <v>1054</v>
      </c>
      <c r="M71" s="23"/>
      <c r="N71" s="23">
        <v>1969</v>
      </c>
      <c r="O71" s="23" t="s">
        <v>1055</v>
      </c>
      <c r="P71" s="42" t="s">
        <v>260</v>
      </c>
      <c r="Q71" s="42" t="s">
        <v>261</v>
      </c>
      <c r="R71" s="23" t="s">
        <v>262</v>
      </c>
      <c r="S71" s="23" t="s">
        <v>263</v>
      </c>
      <c r="T71" s="23" t="s">
        <v>1056</v>
      </c>
      <c r="U71" s="23" t="s">
        <v>264</v>
      </c>
      <c r="V71" s="23" t="s">
        <v>265</v>
      </c>
      <c r="W71" s="23"/>
      <c r="X71" s="23">
        <v>5346</v>
      </c>
      <c r="Y71" s="23" t="s">
        <v>1057</v>
      </c>
      <c r="Z71" s="23" t="s">
        <v>1058</v>
      </c>
      <c r="AA71" s="23" t="s">
        <v>120</v>
      </c>
      <c r="AB71" s="23" t="s">
        <v>1059</v>
      </c>
      <c r="AC71" s="40" t="s">
        <v>1060</v>
      </c>
      <c r="AD71" s="29">
        <v>924</v>
      </c>
      <c r="AG71" s="30" t="s">
        <v>133</v>
      </c>
      <c r="AH71" s="36">
        <v>26900000</v>
      </c>
      <c r="AI71" s="35" t="s">
        <v>139</v>
      </c>
      <c r="AJ71" s="28" t="s">
        <v>1061</v>
      </c>
      <c r="AK71" s="28" t="s">
        <v>1062</v>
      </c>
      <c r="AL71" s="33" t="s">
        <v>1063</v>
      </c>
      <c r="AM71" s="31">
        <v>11694</v>
      </c>
      <c r="AN71" s="32" t="s">
        <v>138</v>
      </c>
      <c r="AO71" s="34">
        <v>3.8100000000000002E-2</v>
      </c>
      <c r="AP71" s="35" t="s">
        <v>139</v>
      </c>
      <c r="AQ71" s="28" t="s">
        <v>1064</v>
      </c>
      <c r="AR71" s="29" t="s">
        <v>1062</v>
      </c>
      <c r="AS71" s="28" t="s">
        <v>1063</v>
      </c>
    </row>
    <row r="72" spans="1:45" ht="171" customHeight="1">
      <c r="A72" s="23" t="s">
        <v>1065</v>
      </c>
      <c r="B72" s="23" t="s">
        <v>1066</v>
      </c>
      <c r="C72" s="24" t="s">
        <v>1067</v>
      </c>
      <c r="D72" s="25" t="s">
        <v>115</v>
      </c>
      <c r="E72" s="23" t="s">
        <v>1068</v>
      </c>
      <c r="F72" s="23" t="s">
        <v>1069</v>
      </c>
      <c r="G72" s="23">
        <v>827701000000</v>
      </c>
      <c r="H72" s="23" t="s">
        <v>1070</v>
      </c>
      <c r="I72" s="26">
        <v>604.16131386861298</v>
      </c>
      <c r="J72" s="23" t="s">
        <v>563</v>
      </c>
      <c r="K72" s="25" t="s">
        <v>120</v>
      </c>
      <c r="L72" s="23" t="s">
        <v>1071</v>
      </c>
      <c r="M72" s="23" t="s">
        <v>1072</v>
      </c>
      <c r="N72" s="23">
        <v>120</v>
      </c>
      <c r="O72" s="23" t="s">
        <v>1073</v>
      </c>
      <c r="P72" s="42" t="s">
        <v>260</v>
      </c>
      <c r="Q72" s="42" t="s">
        <v>261</v>
      </c>
      <c r="R72" s="23" t="s">
        <v>262</v>
      </c>
      <c r="S72" s="23" t="s">
        <v>263</v>
      </c>
      <c r="T72" s="23" t="s">
        <v>1056</v>
      </c>
      <c r="U72" s="23" t="s">
        <v>264</v>
      </c>
      <c r="V72" s="23" t="s">
        <v>265</v>
      </c>
      <c r="W72" s="23"/>
      <c r="X72" s="23">
        <v>10</v>
      </c>
      <c r="Y72" s="23" t="s">
        <v>1074</v>
      </c>
      <c r="Z72" s="23" t="s">
        <v>381</v>
      </c>
      <c r="AA72" s="23" t="s">
        <v>120</v>
      </c>
      <c r="AB72" s="23" t="s">
        <v>1075</v>
      </c>
      <c r="AC72" s="40" t="s">
        <v>1076</v>
      </c>
      <c r="AD72" s="29">
        <v>593.15206517283605</v>
      </c>
      <c r="AG72" s="43" t="s">
        <v>286</v>
      </c>
      <c r="AH72" s="36">
        <v>31500000</v>
      </c>
      <c r="AI72" s="35" t="s">
        <v>139</v>
      </c>
      <c r="AJ72" s="28" t="s">
        <v>1077</v>
      </c>
      <c r="AK72" s="28" t="s">
        <v>771</v>
      </c>
      <c r="AL72" s="33" t="s">
        <v>1078</v>
      </c>
      <c r="AM72" s="36">
        <v>22278</v>
      </c>
      <c r="AN72" s="35" t="s">
        <v>139</v>
      </c>
      <c r="AO72" s="34">
        <v>1.77E-2</v>
      </c>
      <c r="AP72" s="35" t="s">
        <v>139</v>
      </c>
      <c r="AQ72" s="28" t="s">
        <v>1079</v>
      </c>
      <c r="AR72" s="29" t="s">
        <v>771</v>
      </c>
      <c r="AS72" s="28" t="s">
        <v>1080</v>
      </c>
    </row>
    <row r="73" spans="1:45" ht="99.75" customHeight="1">
      <c r="A73" s="23" t="s">
        <v>1081</v>
      </c>
      <c r="B73" s="23" t="s">
        <v>1082</v>
      </c>
      <c r="C73" s="24" t="s">
        <v>1083</v>
      </c>
      <c r="D73" s="25" t="s">
        <v>115</v>
      </c>
      <c r="E73" s="23" t="s">
        <v>1084</v>
      </c>
      <c r="F73" s="23" t="s">
        <v>1084</v>
      </c>
      <c r="G73" s="23">
        <v>256333000000</v>
      </c>
      <c r="H73" s="23" t="s">
        <v>1085</v>
      </c>
      <c r="I73" s="26">
        <v>328.63205128205101</v>
      </c>
      <c r="J73" s="23" t="s">
        <v>189</v>
      </c>
      <c r="K73" s="25" t="s">
        <v>120</v>
      </c>
      <c r="L73" s="23" t="s">
        <v>1086</v>
      </c>
      <c r="M73" s="23" t="s">
        <v>1087</v>
      </c>
      <c r="N73" s="23">
        <v>180</v>
      </c>
      <c r="O73" s="23" t="s">
        <v>1088</v>
      </c>
      <c r="P73" s="42" t="s">
        <v>260</v>
      </c>
      <c r="Q73" s="42" t="s">
        <v>261</v>
      </c>
      <c r="R73" s="23" t="s">
        <v>262</v>
      </c>
      <c r="S73" s="23" t="s">
        <v>263</v>
      </c>
      <c r="T73" s="23" t="s">
        <v>473</v>
      </c>
      <c r="U73" s="23" t="s">
        <v>264</v>
      </c>
      <c r="V73" s="23" t="s">
        <v>265</v>
      </c>
      <c r="W73" s="23"/>
      <c r="X73" s="23">
        <v>3500</v>
      </c>
      <c r="Y73" s="23" t="s">
        <v>1089</v>
      </c>
      <c r="Z73" s="23" t="s">
        <v>646</v>
      </c>
      <c r="AA73" s="23" t="s">
        <v>120</v>
      </c>
      <c r="AB73" s="23" t="s">
        <v>1090</v>
      </c>
      <c r="AC73" s="28" t="s">
        <v>1091</v>
      </c>
      <c r="AD73" s="29">
        <v>345.67236959391801</v>
      </c>
      <c r="AG73" s="43" t="s">
        <v>286</v>
      </c>
      <c r="AH73" s="36">
        <v>25900000</v>
      </c>
      <c r="AI73" s="35" t="s">
        <v>139</v>
      </c>
      <c r="AJ73" s="28" t="s">
        <v>1092</v>
      </c>
      <c r="AK73" s="28" t="s">
        <v>1093</v>
      </c>
      <c r="AL73" s="33" t="s">
        <v>1094</v>
      </c>
      <c r="AM73" s="36">
        <f>G73/AH73</f>
        <v>9897.0270270270266</v>
      </c>
      <c r="AN73" s="35" t="s">
        <v>139</v>
      </c>
      <c r="AO73" s="38">
        <v>0.02</v>
      </c>
      <c r="AP73" s="32" t="s">
        <v>138</v>
      </c>
      <c r="AQ73" s="28" t="s">
        <v>1095</v>
      </c>
      <c r="AR73" s="29" t="s">
        <v>308</v>
      </c>
      <c r="AS73" s="28" t="s">
        <v>1096</v>
      </c>
    </row>
    <row r="74" spans="1:45" ht="171" customHeight="1">
      <c r="A74" s="23" t="s">
        <v>1097</v>
      </c>
      <c r="B74" s="23" t="s">
        <v>1098</v>
      </c>
      <c r="C74" s="24" t="s">
        <v>1099</v>
      </c>
      <c r="D74" s="25" t="s">
        <v>115</v>
      </c>
      <c r="E74" s="23" t="s">
        <v>1100</v>
      </c>
      <c r="F74" s="23" t="s">
        <v>1100</v>
      </c>
      <c r="G74" s="23">
        <v>204411000000</v>
      </c>
      <c r="H74" s="23" t="s">
        <v>1101</v>
      </c>
      <c r="I74" s="26">
        <v>222.80798999999999</v>
      </c>
      <c r="J74" s="23" t="s">
        <v>189</v>
      </c>
      <c r="K74" s="25" t="s">
        <v>120</v>
      </c>
      <c r="L74" s="23" t="s">
        <v>1102</v>
      </c>
      <c r="M74" s="23"/>
      <c r="N74" s="23">
        <v>95</v>
      </c>
      <c r="O74" s="23" t="s">
        <v>1103</v>
      </c>
      <c r="P74" s="42" t="s">
        <v>260</v>
      </c>
      <c r="Q74" s="42" t="s">
        <v>261</v>
      </c>
      <c r="R74" s="23" t="s">
        <v>262</v>
      </c>
      <c r="S74" s="23" t="s">
        <v>263</v>
      </c>
      <c r="T74" s="23" t="s">
        <v>473</v>
      </c>
      <c r="U74" s="23" t="s">
        <v>264</v>
      </c>
      <c r="V74" s="23" t="s">
        <v>265</v>
      </c>
      <c r="W74" s="23"/>
      <c r="X74" s="23">
        <v>339</v>
      </c>
      <c r="Y74" s="23" t="s">
        <v>1104</v>
      </c>
      <c r="Z74" s="23" t="s">
        <v>249</v>
      </c>
      <c r="AA74" s="23" t="s">
        <v>120</v>
      </c>
      <c r="AB74" s="23" t="s">
        <v>1105</v>
      </c>
      <c r="AC74" s="28" t="s">
        <v>1106</v>
      </c>
      <c r="AD74" s="29">
        <v>236.174866292243</v>
      </c>
      <c r="AG74" s="37" t="s">
        <v>211</v>
      </c>
      <c r="AH74" s="36">
        <v>19600000</v>
      </c>
      <c r="AI74" s="35" t="s">
        <v>139</v>
      </c>
      <c r="AJ74" s="28" t="s">
        <v>1107</v>
      </c>
      <c r="AK74" s="28" t="s">
        <v>163</v>
      </c>
      <c r="AL74" s="33" t="s">
        <v>1108</v>
      </c>
      <c r="AM74" s="36">
        <f>G74/AH74</f>
        <v>10429.132653061224</v>
      </c>
      <c r="AN74" s="35" t="s">
        <v>139</v>
      </c>
      <c r="AO74" s="34">
        <v>2.1000000000000001E-2</v>
      </c>
      <c r="AP74" s="35" t="s">
        <v>139</v>
      </c>
      <c r="AQ74" s="28" t="s">
        <v>1109</v>
      </c>
      <c r="AR74" s="29" t="s">
        <v>1110</v>
      </c>
      <c r="AS74" s="28" t="s">
        <v>1111</v>
      </c>
    </row>
    <row r="75" spans="1:45" ht="99.75" customHeight="1">
      <c r="A75" s="23" t="s">
        <v>1112</v>
      </c>
      <c r="B75" s="23" t="s">
        <v>1113</v>
      </c>
      <c r="C75" s="24" t="s">
        <v>1114</v>
      </c>
      <c r="D75" s="25" t="s">
        <v>115</v>
      </c>
      <c r="E75" s="23" t="s">
        <v>1100</v>
      </c>
      <c r="F75" s="23" t="s">
        <v>1100</v>
      </c>
      <c r="G75" s="23">
        <v>206339000000</v>
      </c>
      <c r="H75" s="23" t="s">
        <v>1101</v>
      </c>
      <c r="I75" s="26">
        <v>224.90951000000001</v>
      </c>
      <c r="J75" s="23" t="s">
        <v>189</v>
      </c>
      <c r="K75" s="25" t="s">
        <v>120</v>
      </c>
      <c r="L75" s="23" t="s">
        <v>1115</v>
      </c>
      <c r="M75" s="23"/>
      <c r="N75" s="23">
        <v>85</v>
      </c>
      <c r="O75" s="23" t="s">
        <v>1116</v>
      </c>
      <c r="P75" s="42" t="s">
        <v>260</v>
      </c>
      <c r="Q75" s="42" t="s">
        <v>261</v>
      </c>
      <c r="R75" s="23" t="s">
        <v>262</v>
      </c>
      <c r="S75" s="23" t="s">
        <v>263</v>
      </c>
      <c r="T75" s="23" t="s">
        <v>473</v>
      </c>
      <c r="U75" s="23" t="s">
        <v>264</v>
      </c>
      <c r="V75" s="23" t="s">
        <v>265</v>
      </c>
      <c r="W75" s="23"/>
      <c r="X75" s="23">
        <v>139</v>
      </c>
      <c r="Y75" s="23" t="s">
        <v>1117</v>
      </c>
      <c r="Z75" s="23" t="s">
        <v>283</v>
      </c>
      <c r="AA75" s="23" t="s">
        <v>120</v>
      </c>
      <c r="AB75" s="23" t="s">
        <v>1118</v>
      </c>
      <c r="AC75" s="28" t="s">
        <v>1119</v>
      </c>
      <c r="AD75" s="29">
        <v>238.40246237176601</v>
      </c>
      <c r="AG75" s="37" t="s">
        <v>211</v>
      </c>
      <c r="AH75" s="36">
        <v>5610000</v>
      </c>
      <c r="AI75" s="35" t="s">
        <v>139</v>
      </c>
      <c r="AJ75" s="28" t="s">
        <v>1120</v>
      </c>
      <c r="AK75" s="28" t="s">
        <v>1121</v>
      </c>
      <c r="AL75" s="33" t="s">
        <v>1122</v>
      </c>
      <c r="AM75" s="36">
        <f>G75/AH75</f>
        <v>36780.570409982174</v>
      </c>
      <c r="AN75" s="35" t="s">
        <v>139</v>
      </c>
      <c r="AO75" s="34">
        <v>1.0999999999999999E-2</v>
      </c>
      <c r="AP75" s="35" t="s">
        <v>139</v>
      </c>
      <c r="AQ75" s="28" t="s">
        <v>1123</v>
      </c>
      <c r="AR75" s="29" t="s">
        <v>163</v>
      </c>
      <c r="AS75" s="28" t="s">
        <v>1124</v>
      </c>
    </row>
    <row r="76" spans="1:45" ht="114" customHeight="1">
      <c r="A76" s="23" t="s">
        <v>1125</v>
      </c>
      <c r="B76" s="23" t="s">
        <v>1126</v>
      </c>
      <c r="C76" s="24" t="s">
        <v>1127</v>
      </c>
      <c r="D76" s="25" t="s">
        <v>115</v>
      </c>
      <c r="E76" s="23" t="s">
        <v>1100</v>
      </c>
      <c r="F76" s="23" t="s">
        <v>1100</v>
      </c>
      <c r="G76" s="23">
        <v>6821000000</v>
      </c>
      <c r="H76" s="23" t="s">
        <v>1101</v>
      </c>
      <c r="I76" s="26">
        <v>7.4348900000000002</v>
      </c>
      <c r="J76" s="23" t="s">
        <v>189</v>
      </c>
      <c r="K76" s="25" t="s">
        <v>120</v>
      </c>
      <c r="L76" s="23" t="s">
        <v>1128</v>
      </c>
      <c r="M76" s="23"/>
      <c r="N76" s="23">
        <v>35</v>
      </c>
      <c r="O76" s="23" t="s">
        <v>1129</v>
      </c>
      <c r="P76" s="42" t="s">
        <v>260</v>
      </c>
      <c r="Q76" s="42" t="s">
        <v>261</v>
      </c>
      <c r="R76" s="23" t="s">
        <v>262</v>
      </c>
      <c r="S76" s="23" t="s">
        <v>263</v>
      </c>
      <c r="T76" s="23" t="s">
        <v>473</v>
      </c>
      <c r="U76" s="23" t="s">
        <v>264</v>
      </c>
      <c r="V76" s="23" t="s">
        <v>265</v>
      </c>
      <c r="W76" s="23"/>
      <c r="X76" s="23">
        <v>381</v>
      </c>
      <c r="Y76" s="23" t="s">
        <v>1130</v>
      </c>
      <c r="Z76" s="23" t="s">
        <v>349</v>
      </c>
      <c r="AA76" s="23" t="s">
        <v>120</v>
      </c>
      <c r="AB76" s="23" t="s">
        <v>1131</v>
      </c>
      <c r="AC76" s="28" t="s">
        <v>1119</v>
      </c>
      <c r="AD76" s="29">
        <v>7.8809299058239901</v>
      </c>
      <c r="AG76" s="37" t="s">
        <v>211</v>
      </c>
      <c r="AH76" s="36">
        <v>7100000</v>
      </c>
      <c r="AI76" s="35" t="s">
        <v>139</v>
      </c>
      <c r="AJ76" s="28" t="s">
        <v>1132</v>
      </c>
      <c r="AK76" s="28" t="s">
        <v>148</v>
      </c>
      <c r="AL76" s="33" t="s">
        <v>1133</v>
      </c>
      <c r="AM76" s="31">
        <v>6700</v>
      </c>
      <c r="AN76" s="32" t="s">
        <v>138</v>
      </c>
      <c r="AO76" s="38">
        <v>6.0999999999999999E-2</v>
      </c>
      <c r="AP76" s="32" t="s">
        <v>138</v>
      </c>
      <c r="AQ76" s="28" t="s">
        <v>1134</v>
      </c>
      <c r="AR76" s="29" t="s">
        <v>148</v>
      </c>
      <c r="AS76" s="28" t="s">
        <v>1133</v>
      </c>
    </row>
    <row r="77" spans="1:45" ht="142.5" customHeight="1">
      <c r="A77" s="23" t="s">
        <v>1135</v>
      </c>
      <c r="B77" s="23" t="s">
        <v>1136</v>
      </c>
      <c r="C77" s="24" t="s">
        <v>1137</v>
      </c>
      <c r="D77" s="25" t="s">
        <v>115</v>
      </c>
      <c r="E77" s="23" t="s">
        <v>1100</v>
      </c>
      <c r="F77" s="23" t="s">
        <v>1100</v>
      </c>
      <c r="G77" s="23">
        <v>118808000000</v>
      </c>
      <c r="H77" s="23" t="s">
        <v>1101</v>
      </c>
      <c r="I77" s="26">
        <v>129.50072</v>
      </c>
      <c r="J77" s="23" t="s">
        <v>189</v>
      </c>
      <c r="K77" s="25" t="s">
        <v>120</v>
      </c>
      <c r="L77" s="23" t="s">
        <v>1138</v>
      </c>
      <c r="M77" s="23"/>
      <c r="N77" s="23">
        <v>55</v>
      </c>
      <c r="O77" s="23" t="s">
        <v>1139</v>
      </c>
      <c r="P77" s="42" t="s">
        <v>260</v>
      </c>
      <c r="Q77" s="42" t="s">
        <v>261</v>
      </c>
      <c r="R77" s="23" t="s">
        <v>262</v>
      </c>
      <c r="S77" s="23" t="s">
        <v>263</v>
      </c>
      <c r="T77" s="23" t="s">
        <v>473</v>
      </c>
      <c r="U77" s="23" t="s">
        <v>264</v>
      </c>
      <c r="V77" s="23" t="s">
        <v>265</v>
      </c>
      <c r="W77" s="23"/>
      <c r="X77" s="23">
        <v>31</v>
      </c>
      <c r="Y77" s="23" t="s">
        <v>1140</v>
      </c>
      <c r="Z77" s="23" t="s">
        <v>283</v>
      </c>
      <c r="AA77" s="23" t="s">
        <v>120</v>
      </c>
      <c r="AB77" s="23" t="s">
        <v>1141</v>
      </c>
      <c r="AC77" s="28" t="s">
        <v>1119</v>
      </c>
      <c r="AD77" s="29">
        <v>137.26983143983799</v>
      </c>
      <c r="AG77" s="37" t="s">
        <v>211</v>
      </c>
      <c r="AH77" s="31">
        <v>22058000</v>
      </c>
      <c r="AI77" s="32" t="s">
        <v>138</v>
      </c>
      <c r="AJ77" s="28" t="s">
        <v>1142</v>
      </c>
      <c r="AK77" s="28" t="s">
        <v>696</v>
      </c>
      <c r="AL77" s="33" t="s">
        <v>1143</v>
      </c>
      <c r="AM77" s="31">
        <f>G77/AH77</f>
        <v>5386.1637501133373</v>
      </c>
      <c r="AN77" s="32" t="s">
        <v>138</v>
      </c>
      <c r="AO77" s="34">
        <v>5.6500000000000002E-2</v>
      </c>
      <c r="AP77" s="35" t="s">
        <v>139</v>
      </c>
      <c r="AQ77" s="28" t="s">
        <v>1144</v>
      </c>
      <c r="AR77" s="29" t="s">
        <v>163</v>
      </c>
      <c r="AS77" s="28" t="s">
        <v>1145</v>
      </c>
    </row>
    <row r="78" spans="1:45" ht="99.75" customHeight="1">
      <c r="A78" s="23" t="s">
        <v>1146</v>
      </c>
      <c r="B78" s="23" t="s">
        <v>1147</v>
      </c>
      <c r="C78" s="24" t="s">
        <v>1148</v>
      </c>
      <c r="D78" s="25" t="s">
        <v>115</v>
      </c>
      <c r="E78" s="23" t="s">
        <v>1100</v>
      </c>
      <c r="F78" s="23" t="s">
        <v>1100</v>
      </c>
      <c r="G78" s="23">
        <v>22514940000</v>
      </c>
      <c r="H78" s="23" t="s">
        <v>1101</v>
      </c>
      <c r="I78" s="26">
        <v>24.541284600000001</v>
      </c>
      <c r="J78" s="23" t="s">
        <v>189</v>
      </c>
      <c r="K78" s="25" t="s">
        <v>120</v>
      </c>
      <c r="L78" s="23" t="s">
        <v>1149</v>
      </c>
      <c r="M78" s="23"/>
      <c r="N78" s="23">
        <v>18</v>
      </c>
      <c r="O78" s="23" t="s">
        <v>1150</v>
      </c>
      <c r="P78" s="42" t="s">
        <v>260</v>
      </c>
      <c r="Q78" s="42" t="s">
        <v>261</v>
      </c>
      <c r="R78" s="23" t="s">
        <v>262</v>
      </c>
      <c r="S78" s="23" t="s">
        <v>263</v>
      </c>
      <c r="T78" s="23" t="s">
        <v>473</v>
      </c>
      <c r="U78" s="23" t="s">
        <v>264</v>
      </c>
      <c r="V78" s="23" t="s">
        <v>265</v>
      </c>
      <c r="W78" s="23"/>
      <c r="X78" s="23">
        <v>4</v>
      </c>
      <c r="Y78" s="23" t="s">
        <v>1151</v>
      </c>
      <c r="Z78" s="23" t="s">
        <v>283</v>
      </c>
      <c r="AA78" s="23" t="s">
        <v>120</v>
      </c>
      <c r="AB78" s="23" t="s">
        <v>1152</v>
      </c>
      <c r="AC78" s="28" t="s">
        <v>1119</v>
      </c>
      <c r="AD78" s="29">
        <v>26.0135851009871</v>
      </c>
      <c r="AG78" s="37" t="s">
        <v>211</v>
      </c>
      <c r="AH78" s="31">
        <v>2835000</v>
      </c>
      <c r="AI78" s="32" t="s">
        <v>138</v>
      </c>
      <c r="AJ78" s="28" t="s">
        <v>1153</v>
      </c>
      <c r="AK78" s="28" t="s">
        <v>696</v>
      </c>
      <c r="AL78" s="33" t="s">
        <v>1154</v>
      </c>
      <c r="AM78" s="31">
        <f>G78/AH78</f>
        <v>7941.7777777777774</v>
      </c>
      <c r="AN78" s="32" t="s">
        <v>138</v>
      </c>
      <c r="AO78" s="38">
        <v>8.1000000000000003E-2</v>
      </c>
      <c r="AP78" s="32" t="s">
        <v>138</v>
      </c>
      <c r="AQ78" s="28" t="s">
        <v>1155</v>
      </c>
      <c r="AR78" s="29" t="s">
        <v>646</v>
      </c>
      <c r="AS78" s="28" t="s">
        <v>1156</v>
      </c>
    </row>
    <row r="79" spans="1:45" ht="99.75" customHeight="1">
      <c r="A79" s="23" t="s">
        <v>1157</v>
      </c>
      <c r="B79" s="23" t="s">
        <v>1158</v>
      </c>
      <c r="C79" s="24" t="s">
        <v>1159</v>
      </c>
      <c r="D79" s="25" t="s">
        <v>115</v>
      </c>
      <c r="E79" s="23" t="s">
        <v>1100</v>
      </c>
      <c r="F79" s="23" t="s">
        <v>1100</v>
      </c>
      <c r="G79" s="23">
        <v>134966000000</v>
      </c>
      <c r="H79" s="23" t="s">
        <v>1101</v>
      </c>
      <c r="I79" s="26">
        <v>147.11294000000001</v>
      </c>
      <c r="J79" s="23" t="s">
        <v>189</v>
      </c>
      <c r="K79" s="25" t="s">
        <v>120</v>
      </c>
      <c r="L79" s="23" t="s">
        <v>1160</v>
      </c>
      <c r="M79" s="23"/>
      <c r="N79" s="23">
        <v>60</v>
      </c>
      <c r="O79" s="23" t="s">
        <v>1161</v>
      </c>
      <c r="P79" s="42" t="s">
        <v>260</v>
      </c>
      <c r="Q79" s="42" t="s">
        <v>261</v>
      </c>
      <c r="R79" s="23" t="s">
        <v>262</v>
      </c>
      <c r="S79" s="23" t="s">
        <v>263</v>
      </c>
      <c r="T79" s="23" t="s">
        <v>473</v>
      </c>
      <c r="U79" s="23" t="s">
        <v>264</v>
      </c>
      <c r="V79" s="23" t="s">
        <v>265</v>
      </c>
      <c r="W79" s="23"/>
      <c r="X79" s="23">
        <v>176</v>
      </c>
      <c r="Y79" s="23" t="s">
        <v>1162</v>
      </c>
      <c r="Z79" s="23" t="s">
        <v>283</v>
      </c>
      <c r="AA79" s="23" t="s">
        <v>120</v>
      </c>
      <c r="AB79" s="23" t="s">
        <v>1163</v>
      </c>
      <c r="AC79" s="28" t="s">
        <v>1164</v>
      </c>
      <c r="AD79" s="29">
        <v>155.93865791957799</v>
      </c>
      <c r="AG79" s="37" t="s">
        <v>211</v>
      </c>
      <c r="AH79" s="31">
        <v>28568000</v>
      </c>
      <c r="AI79" s="32" t="s">
        <v>138</v>
      </c>
      <c r="AJ79" s="28" t="s">
        <v>1165</v>
      </c>
      <c r="AK79" s="28" t="s">
        <v>696</v>
      </c>
      <c r="AL79" s="33" t="s">
        <v>1166</v>
      </c>
      <c r="AM79" s="31">
        <f>G79/AH79</f>
        <v>4724.3769252310276</v>
      </c>
      <c r="AN79" s="32" t="s">
        <v>138</v>
      </c>
      <c r="AO79" s="34">
        <v>1.4999999999999999E-2</v>
      </c>
      <c r="AP79" s="35" t="s">
        <v>139</v>
      </c>
      <c r="AQ79" s="28" t="s">
        <v>1167</v>
      </c>
      <c r="AR79" s="29" t="s">
        <v>771</v>
      </c>
      <c r="AS79" s="28" t="s">
        <v>1168</v>
      </c>
    </row>
    <row r="80" spans="1:45" ht="99.75" customHeight="1">
      <c r="A80" s="23" t="s">
        <v>1169</v>
      </c>
      <c r="B80" s="23" t="s">
        <v>1170</v>
      </c>
      <c r="C80" s="24" t="s">
        <v>1171</v>
      </c>
      <c r="D80" s="25" t="s">
        <v>115</v>
      </c>
      <c r="E80" s="23" t="s">
        <v>1100</v>
      </c>
      <c r="F80" s="23" t="s">
        <v>1100</v>
      </c>
      <c r="G80" s="23">
        <v>28897730000</v>
      </c>
      <c r="H80" s="23" t="s">
        <v>1101</v>
      </c>
      <c r="I80" s="26">
        <v>31.498525699999998</v>
      </c>
      <c r="J80" s="23" t="s">
        <v>189</v>
      </c>
      <c r="K80" s="25" t="s">
        <v>120</v>
      </c>
      <c r="L80" s="23" t="s">
        <v>1172</v>
      </c>
      <c r="M80" s="23"/>
      <c r="N80" s="23">
        <v>40</v>
      </c>
      <c r="O80" s="23" t="s">
        <v>1173</v>
      </c>
      <c r="P80" s="42" t="s">
        <v>260</v>
      </c>
      <c r="Q80" s="42" t="s">
        <v>261</v>
      </c>
      <c r="R80" s="23" t="s">
        <v>262</v>
      </c>
      <c r="S80" s="23" t="s">
        <v>263</v>
      </c>
      <c r="T80" s="23" t="s">
        <v>473</v>
      </c>
      <c r="U80" s="23" t="s">
        <v>264</v>
      </c>
      <c r="V80" s="23" t="s">
        <v>265</v>
      </c>
      <c r="W80" s="23"/>
      <c r="X80" s="23">
        <v>16</v>
      </c>
      <c r="Y80" s="23" t="s">
        <v>1174</v>
      </c>
      <c r="Z80" s="23" t="s">
        <v>349</v>
      </c>
      <c r="AA80" s="23" t="s">
        <v>120</v>
      </c>
      <c r="AB80" s="23" t="s">
        <v>1175</v>
      </c>
      <c r="AC80" s="28" t="s">
        <v>1176</v>
      </c>
      <c r="AD80" s="29">
        <v>33.388210609504</v>
      </c>
      <c r="AG80" s="37" t="s">
        <v>211</v>
      </c>
      <c r="AH80" s="36">
        <v>1500000</v>
      </c>
      <c r="AI80" s="35" t="s">
        <v>139</v>
      </c>
      <c r="AJ80" s="28" t="s">
        <v>1177</v>
      </c>
      <c r="AK80" s="28" t="s">
        <v>646</v>
      </c>
      <c r="AL80" s="33" t="s">
        <v>1178</v>
      </c>
      <c r="AM80" s="31">
        <v>7800</v>
      </c>
      <c r="AN80" s="32" t="s">
        <v>138</v>
      </c>
      <c r="AO80" s="38">
        <v>0.05</v>
      </c>
      <c r="AP80" s="32" t="s">
        <v>138</v>
      </c>
      <c r="AQ80" s="28" t="s">
        <v>1179</v>
      </c>
      <c r="AR80" s="29" t="s">
        <v>272</v>
      </c>
      <c r="AS80" s="28" t="s">
        <v>273</v>
      </c>
    </row>
    <row r="81" spans="1:45" ht="128.25" customHeight="1">
      <c r="A81" s="23" t="s">
        <v>1180</v>
      </c>
      <c r="B81" s="23" t="s">
        <v>1181</v>
      </c>
      <c r="C81" s="24" t="s">
        <v>1182</v>
      </c>
      <c r="D81" s="25" t="s">
        <v>115</v>
      </c>
      <c r="E81" s="23" t="s">
        <v>1100</v>
      </c>
      <c r="F81" s="23" t="s">
        <v>1100</v>
      </c>
      <c r="G81" s="23">
        <v>57015710000</v>
      </c>
      <c r="H81" s="23" t="s">
        <v>1101</v>
      </c>
      <c r="I81" s="26">
        <v>62.147123899999997</v>
      </c>
      <c r="J81" s="23" t="s">
        <v>189</v>
      </c>
      <c r="K81" s="25" t="s">
        <v>120</v>
      </c>
      <c r="L81" s="23" t="s">
        <v>1183</v>
      </c>
      <c r="M81" s="23"/>
      <c r="N81" s="23">
        <v>45</v>
      </c>
      <c r="O81" s="23" t="s">
        <v>1184</v>
      </c>
      <c r="P81" s="27" t="s">
        <v>123</v>
      </c>
      <c r="Q81" s="27" t="s">
        <v>124</v>
      </c>
      <c r="R81" s="23" t="s">
        <v>262</v>
      </c>
      <c r="S81" s="23" t="s">
        <v>263</v>
      </c>
      <c r="T81" s="23" t="s">
        <v>473</v>
      </c>
      <c r="U81" s="23" t="s">
        <v>264</v>
      </c>
      <c r="V81" s="23" t="s">
        <v>589</v>
      </c>
      <c r="W81" s="23"/>
      <c r="X81" s="23">
        <v>100</v>
      </c>
      <c r="Y81" s="23" t="s">
        <v>1185</v>
      </c>
      <c r="Z81" s="23" t="s">
        <v>445</v>
      </c>
      <c r="AA81" s="23" t="s">
        <v>120</v>
      </c>
      <c r="AB81" s="23" t="s">
        <v>1186</v>
      </c>
      <c r="AC81" s="28" t="s">
        <v>1187</v>
      </c>
      <c r="AD81" s="29">
        <v>65.875504184252705</v>
      </c>
      <c r="AG81" s="37" t="s">
        <v>211</v>
      </c>
      <c r="AH81" s="36">
        <v>14600000</v>
      </c>
      <c r="AI81" s="35" t="s">
        <v>139</v>
      </c>
      <c r="AJ81" s="28" t="s">
        <v>1188</v>
      </c>
      <c r="AK81" s="28" t="s">
        <v>222</v>
      </c>
      <c r="AL81" s="33" t="s">
        <v>1189</v>
      </c>
      <c r="AM81" s="36">
        <f>G81/AH81</f>
        <v>3905.1856164383562</v>
      </c>
      <c r="AN81" s="35" t="s">
        <v>139</v>
      </c>
      <c r="AO81" s="34">
        <v>6.5000000000000002E-2</v>
      </c>
      <c r="AP81" s="35" t="s">
        <v>139</v>
      </c>
      <c r="AQ81" s="28" t="s">
        <v>1190</v>
      </c>
      <c r="AR81" s="29" t="s">
        <v>163</v>
      </c>
      <c r="AS81" s="28" t="s">
        <v>1191</v>
      </c>
    </row>
    <row r="82" spans="1:45" ht="99.75" customHeight="1">
      <c r="A82" s="23" t="s">
        <v>1192</v>
      </c>
      <c r="B82" s="23" t="s">
        <v>1193</v>
      </c>
      <c r="C82" s="24" t="s">
        <v>1194</v>
      </c>
      <c r="D82" s="25" t="s">
        <v>115</v>
      </c>
      <c r="E82" s="23" t="s">
        <v>1100</v>
      </c>
      <c r="F82" s="23" t="s">
        <v>1100</v>
      </c>
      <c r="G82" s="23">
        <v>14536000000</v>
      </c>
      <c r="H82" s="23" t="s">
        <v>1101</v>
      </c>
      <c r="I82" s="26">
        <v>15.844239999999999</v>
      </c>
      <c r="J82" s="23" t="s">
        <v>189</v>
      </c>
      <c r="K82" s="25" t="s">
        <v>120</v>
      </c>
      <c r="L82" s="23" t="s">
        <v>1195</v>
      </c>
      <c r="M82" s="23"/>
      <c r="N82" s="23">
        <v>22</v>
      </c>
      <c r="O82" s="23" t="s">
        <v>1196</v>
      </c>
      <c r="P82" s="42" t="s">
        <v>260</v>
      </c>
      <c r="Q82" s="42" t="s">
        <v>261</v>
      </c>
      <c r="R82" s="23" t="s">
        <v>262</v>
      </c>
      <c r="S82" s="23" t="s">
        <v>263</v>
      </c>
      <c r="T82" s="23" t="s">
        <v>473</v>
      </c>
      <c r="U82" s="23" t="s">
        <v>264</v>
      </c>
      <c r="V82" s="23" t="s">
        <v>265</v>
      </c>
      <c r="W82" s="23"/>
      <c r="X82" s="23">
        <v>36</v>
      </c>
      <c r="Y82" s="23" t="s">
        <v>1197</v>
      </c>
      <c r="Z82" s="23" t="s">
        <v>678</v>
      </c>
      <c r="AA82" s="23" t="s">
        <v>120</v>
      </c>
      <c r="AB82" s="23" t="s">
        <v>1198</v>
      </c>
      <c r="AC82" s="28" t="s">
        <v>1119</v>
      </c>
      <c r="AD82" s="29">
        <v>16.794780400389602</v>
      </c>
      <c r="AG82" s="37" t="s">
        <v>211</v>
      </c>
      <c r="AH82" s="36">
        <v>3850000</v>
      </c>
      <c r="AI82" s="35" t="s">
        <v>139</v>
      </c>
      <c r="AJ82" s="28" t="s">
        <v>1199</v>
      </c>
      <c r="AK82" s="28" t="s">
        <v>1018</v>
      </c>
      <c r="AL82" s="33" t="s">
        <v>1200</v>
      </c>
      <c r="AM82" s="31">
        <v>10644</v>
      </c>
      <c r="AN82" s="32" t="s">
        <v>138</v>
      </c>
      <c r="AO82" s="34">
        <v>0.02</v>
      </c>
      <c r="AP82" s="35" t="s">
        <v>139</v>
      </c>
      <c r="AQ82" s="28" t="s">
        <v>1201</v>
      </c>
      <c r="AR82" s="29" t="s">
        <v>863</v>
      </c>
      <c r="AS82" s="28" t="s">
        <v>1200</v>
      </c>
    </row>
    <row r="83" spans="1:45" ht="99.75" customHeight="1">
      <c r="A83" s="23" t="s">
        <v>1202</v>
      </c>
      <c r="B83" s="23" t="s">
        <v>1203</v>
      </c>
      <c r="C83" s="24" t="s">
        <v>1204</v>
      </c>
      <c r="D83" s="25" t="s">
        <v>115</v>
      </c>
      <c r="E83" s="23" t="s">
        <v>1205</v>
      </c>
      <c r="F83" s="23" t="s">
        <v>1206</v>
      </c>
      <c r="G83" s="23">
        <v>748476800000</v>
      </c>
      <c r="H83" s="23" t="s">
        <v>1207</v>
      </c>
      <c r="I83" s="26">
        <v>95.958564102564097</v>
      </c>
      <c r="J83" s="23" t="s">
        <v>171</v>
      </c>
      <c r="K83" s="25" t="s">
        <v>120</v>
      </c>
      <c r="L83" s="23" t="s">
        <v>1208</v>
      </c>
      <c r="M83" s="23"/>
      <c r="N83" s="23">
        <v>35</v>
      </c>
      <c r="O83" s="23" t="s">
        <v>1209</v>
      </c>
      <c r="P83" s="42" t="s">
        <v>260</v>
      </c>
      <c r="Q83" s="42" t="s">
        <v>261</v>
      </c>
      <c r="R83" s="23" t="s">
        <v>262</v>
      </c>
      <c r="S83" s="23" t="s">
        <v>263</v>
      </c>
      <c r="T83" s="23" t="s">
        <v>154</v>
      </c>
      <c r="U83" s="23" t="s">
        <v>128</v>
      </c>
      <c r="V83" s="23" t="s">
        <v>1210</v>
      </c>
      <c r="W83" s="23"/>
      <c r="X83" s="23">
        <v>1962</v>
      </c>
      <c r="Y83" s="23" t="s">
        <v>1211</v>
      </c>
      <c r="Z83" s="23" t="s">
        <v>189</v>
      </c>
      <c r="AA83" s="23" t="s">
        <v>120</v>
      </c>
      <c r="AB83" s="23" t="s">
        <v>1212</v>
      </c>
      <c r="AC83" s="28" t="s">
        <v>1213</v>
      </c>
      <c r="AD83" s="29">
        <v>95.401419810868603</v>
      </c>
      <c r="AG83" s="37" t="s">
        <v>211</v>
      </c>
      <c r="AH83" s="31">
        <v>4713000</v>
      </c>
      <c r="AI83" s="32" t="s">
        <v>138</v>
      </c>
      <c r="AJ83" s="28" t="s">
        <v>1214</v>
      </c>
      <c r="AK83" s="28" t="s">
        <v>696</v>
      </c>
      <c r="AL83" s="33" t="s">
        <v>1215</v>
      </c>
      <c r="AM83" s="31">
        <f>G83/AH83</f>
        <v>158811.11818374708</v>
      </c>
      <c r="AN83" s="32" t="s">
        <v>138</v>
      </c>
      <c r="AO83" s="34">
        <v>9.4999999999999998E-3</v>
      </c>
      <c r="AP83" s="35" t="s">
        <v>139</v>
      </c>
      <c r="AQ83" s="28" t="s">
        <v>1216</v>
      </c>
      <c r="AR83" s="29" t="s">
        <v>771</v>
      </c>
      <c r="AS83" s="28" t="s">
        <v>1217</v>
      </c>
    </row>
    <row r="84" spans="1:45" ht="142.5" customHeight="1">
      <c r="A84" s="23" t="s">
        <v>1218</v>
      </c>
      <c r="B84" s="23" t="s">
        <v>1219</v>
      </c>
      <c r="C84" s="24" t="s">
        <v>1220</v>
      </c>
      <c r="D84" s="25" t="s">
        <v>115</v>
      </c>
      <c r="E84" s="23" t="s">
        <v>1221</v>
      </c>
      <c r="F84" s="23" t="s">
        <v>1221</v>
      </c>
      <c r="G84" s="23">
        <v>118600000000</v>
      </c>
      <c r="H84" s="23" t="s">
        <v>1222</v>
      </c>
      <c r="I84" s="26">
        <v>87.851851851851904</v>
      </c>
      <c r="J84" s="23" t="s">
        <v>316</v>
      </c>
      <c r="K84" s="27" t="s">
        <v>149</v>
      </c>
      <c r="L84" s="23" t="s">
        <v>1223</v>
      </c>
      <c r="M84" s="23"/>
      <c r="N84" s="23">
        <v>18</v>
      </c>
      <c r="O84" s="23" t="s">
        <v>240</v>
      </c>
      <c r="P84" s="42" t="s">
        <v>260</v>
      </c>
      <c r="Q84" s="42" t="s">
        <v>261</v>
      </c>
      <c r="R84" s="23" t="s">
        <v>262</v>
      </c>
      <c r="S84" s="23" t="s">
        <v>263</v>
      </c>
      <c r="T84" s="23" t="s">
        <v>154</v>
      </c>
      <c r="U84" s="23" t="s">
        <v>128</v>
      </c>
      <c r="V84" s="23" t="s">
        <v>1210</v>
      </c>
      <c r="W84" s="23"/>
      <c r="X84" s="23">
        <v>153</v>
      </c>
      <c r="Y84" s="23" t="s">
        <v>1211</v>
      </c>
      <c r="Z84" s="23" t="s">
        <v>1224</v>
      </c>
      <c r="AA84" s="23" t="s">
        <v>120</v>
      </c>
      <c r="AB84" s="23" t="s">
        <v>1225</v>
      </c>
      <c r="AC84" s="28" t="s">
        <v>1226</v>
      </c>
      <c r="AD84" s="29">
        <v>92.718762728308207</v>
      </c>
      <c r="AG84" s="43" t="s">
        <v>286</v>
      </c>
      <c r="AH84" s="31">
        <v>2282000</v>
      </c>
      <c r="AI84" s="32" t="s">
        <v>138</v>
      </c>
      <c r="AJ84" s="28" t="s">
        <v>1227</v>
      </c>
      <c r="AK84" s="28" t="s">
        <v>696</v>
      </c>
      <c r="AL84" s="33" t="s">
        <v>1228</v>
      </c>
      <c r="AM84" s="31">
        <f>G84/AH84</f>
        <v>51971.954425942153</v>
      </c>
      <c r="AN84" s="32" t="s">
        <v>138</v>
      </c>
      <c r="AO84" s="38">
        <v>0.01</v>
      </c>
      <c r="AP84" s="32" t="s">
        <v>138</v>
      </c>
      <c r="AQ84" s="28" t="s">
        <v>1229</v>
      </c>
      <c r="AR84" s="29" t="s">
        <v>272</v>
      </c>
      <c r="AS84" s="28" t="s">
        <v>273</v>
      </c>
    </row>
    <row r="85" spans="1:45" ht="99.75" customHeight="1">
      <c r="A85" s="23" t="s">
        <v>1230</v>
      </c>
      <c r="B85" s="23" t="s">
        <v>1231</v>
      </c>
      <c r="C85" s="24" t="s">
        <v>1232</v>
      </c>
      <c r="D85" s="25" t="s">
        <v>115</v>
      </c>
      <c r="E85" s="23" t="s">
        <v>1233</v>
      </c>
      <c r="F85" s="23" t="s">
        <v>1234</v>
      </c>
      <c r="G85" s="23">
        <v>13488000000000</v>
      </c>
      <c r="H85" s="23" t="s">
        <v>1235</v>
      </c>
      <c r="I85" s="26">
        <v>173.993808049536</v>
      </c>
      <c r="J85" s="23" t="s">
        <v>431</v>
      </c>
      <c r="K85" s="25" t="s">
        <v>120</v>
      </c>
      <c r="L85" s="23" t="s">
        <v>1236</v>
      </c>
      <c r="M85" s="23"/>
      <c r="N85" s="23">
        <v>22</v>
      </c>
      <c r="O85" s="23" t="s">
        <v>1237</v>
      </c>
      <c r="P85" s="27" t="s">
        <v>123</v>
      </c>
      <c r="Q85" s="27" t="s">
        <v>124</v>
      </c>
      <c r="R85" s="23" t="s">
        <v>262</v>
      </c>
      <c r="S85" s="23" t="s">
        <v>263</v>
      </c>
      <c r="T85" s="23" t="s">
        <v>473</v>
      </c>
      <c r="U85" s="23" t="s">
        <v>128</v>
      </c>
      <c r="V85" s="23" t="s">
        <v>676</v>
      </c>
      <c r="W85" s="23"/>
      <c r="X85" s="23">
        <v>841</v>
      </c>
      <c r="Y85" s="23" t="s">
        <v>474</v>
      </c>
      <c r="Z85" s="23" t="s">
        <v>316</v>
      </c>
      <c r="AA85" s="23" t="s">
        <v>120</v>
      </c>
      <c r="AB85" s="23" t="s">
        <v>1238</v>
      </c>
      <c r="AC85" s="40" t="s">
        <v>1239</v>
      </c>
      <c r="AD85" s="29">
        <v>164.54964745164801</v>
      </c>
      <c r="AG85" s="37" t="s">
        <v>211</v>
      </c>
      <c r="AH85" s="36">
        <v>18300000</v>
      </c>
      <c r="AI85" s="35" t="s">
        <v>139</v>
      </c>
      <c r="AJ85" s="28" t="s">
        <v>1240</v>
      </c>
      <c r="AK85" s="28" t="s">
        <v>385</v>
      </c>
      <c r="AL85" s="33" t="s">
        <v>1241</v>
      </c>
      <c r="AM85" s="36">
        <f>G85/AH85</f>
        <v>737049.1803278689</v>
      </c>
      <c r="AN85" s="35" t="s">
        <v>139</v>
      </c>
      <c r="AO85" s="34">
        <v>0.129</v>
      </c>
      <c r="AP85" s="35" t="s">
        <v>139</v>
      </c>
      <c r="AQ85" s="28" t="s">
        <v>1242</v>
      </c>
      <c r="AR85" s="29" t="s">
        <v>1121</v>
      </c>
      <c r="AS85" s="28" t="s">
        <v>1243</v>
      </c>
    </row>
  </sheetData>
  <autoFilter ref="A1:AB85" xr:uid="{00000000-0009-0000-0000-000001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5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640625" defaultRowHeight="14.25"/>
  <cols>
    <col min="1" max="1" width="10" customWidth="1"/>
    <col min="2" max="2" width="18" customWidth="1"/>
    <col min="3" max="3" width="12" customWidth="1"/>
    <col min="4" max="4" width="22" customWidth="1"/>
    <col min="5" max="5" width="36" customWidth="1"/>
    <col min="6" max="6" width="10" customWidth="1"/>
    <col min="7" max="7" width="12" customWidth="1"/>
    <col min="8" max="8" width="16" customWidth="1"/>
    <col min="9" max="9" width="12" customWidth="1"/>
    <col min="10" max="10" width="42" customWidth="1"/>
    <col min="11" max="11" width="22" customWidth="1"/>
    <col min="12" max="12" width="36" customWidth="1"/>
  </cols>
  <sheetData>
    <row r="1" spans="1:12" ht="36" customHeight="1">
      <c r="A1" s="15" t="s">
        <v>67</v>
      </c>
      <c r="B1" s="15" t="s">
        <v>68</v>
      </c>
      <c r="C1" s="15" t="s">
        <v>69</v>
      </c>
      <c r="D1" s="15" t="s">
        <v>1244</v>
      </c>
      <c r="E1" s="15" t="s">
        <v>91</v>
      </c>
      <c r="F1" s="15" t="s">
        <v>1245</v>
      </c>
      <c r="G1" s="15" t="s">
        <v>76</v>
      </c>
      <c r="H1" s="15" t="s">
        <v>1246</v>
      </c>
      <c r="I1" s="15" t="s">
        <v>77</v>
      </c>
      <c r="J1" s="16" t="s">
        <v>78</v>
      </c>
      <c r="K1" s="15" t="s">
        <v>1247</v>
      </c>
      <c r="L1" s="15" t="s">
        <v>81</v>
      </c>
    </row>
    <row r="2" spans="1:12" ht="28.5" customHeight="1">
      <c r="A2" s="23" t="s">
        <v>112</v>
      </c>
      <c r="B2" s="23" t="s">
        <v>113</v>
      </c>
      <c r="C2" s="24" t="s">
        <v>114</v>
      </c>
      <c r="D2" s="25" t="s">
        <v>115</v>
      </c>
      <c r="E2" s="23" t="s">
        <v>130</v>
      </c>
      <c r="F2" s="23">
        <v>431</v>
      </c>
      <c r="G2" s="23" t="s">
        <v>131</v>
      </c>
      <c r="H2" s="23" t="s">
        <v>1248</v>
      </c>
      <c r="I2" s="25" t="s">
        <v>120</v>
      </c>
      <c r="J2" s="23" t="s">
        <v>121</v>
      </c>
      <c r="K2" s="23" t="s">
        <v>1249</v>
      </c>
      <c r="L2" s="24" t="s">
        <v>1250</v>
      </c>
    </row>
    <row r="3" spans="1:12" ht="28.5" customHeight="1">
      <c r="A3" s="23" t="s">
        <v>142</v>
      </c>
      <c r="B3" s="23" t="s">
        <v>143</v>
      </c>
      <c r="C3" s="24" t="s">
        <v>144</v>
      </c>
      <c r="D3" s="25" t="s">
        <v>115</v>
      </c>
      <c r="E3" s="23" t="s">
        <v>156</v>
      </c>
      <c r="F3" s="23">
        <v>4863</v>
      </c>
      <c r="G3" s="23" t="s">
        <v>157</v>
      </c>
      <c r="H3" s="23" t="s">
        <v>1251</v>
      </c>
      <c r="I3" s="25" t="s">
        <v>120</v>
      </c>
      <c r="J3" s="23" t="s">
        <v>158</v>
      </c>
      <c r="K3" s="23" t="s">
        <v>1252</v>
      </c>
      <c r="L3" s="24" t="s">
        <v>1253</v>
      </c>
    </row>
    <row r="4" spans="1:12" ht="57" customHeight="1">
      <c r="A4" s="23" t="s">
        <v>165</v>
      </c>
      <c r="B4" s="23" t="s">
        <v>166</v>
      </c>
      <c r="C4" s="24" t="s">
        <v>167</v>
      </c>
      <c r="D4" s="25" t="s">
        <v>115</v>
      </c>
      <c r="E4" s="23" t="s">
        <v>174</v>
      </c>
      <c r="F4" s="23">
        <v>145</v>
      </c>
      <c r="G4" s="23" t="s">
        <v>175</v>
      </c>
      <c r="H4" s="23" t="s">
        <v>1254</v>
      </c>
      <c r="I4" s="25" t="s">
        <v>120</v>
      </c>
      <c r="J4" s="23" t="s">
        <v>176</v>
      </c>
      <c r="K4" s="23" t="s">
        <v>1255</v>
      </c>
      <c r="L4" s="23" t="s">
        <v>1256</v>
      </c>
    </row>
    <row r="5" spans="1:12" ht="28.5" customHeight="1">
      <c r="A5" s="23" t="s">
        <v>183</v>
      </c>
      <c r="B5" s="23" t="s">
        <v>184</v>
      </c>
      <c r="C5" s="24" t="s">
        <v>185</v>
      </c>
      <c r="D5" s="25" t="s">
        <v>115</v>
      </c>
      <c r="E5" s="23" t="s">
        <v>192</v>
      </c>
      <c r="F5" s="23">
        <v>73</v>
      </c>
      <c r="G5" s="23" t="s">
        <v>193</v>
      </c>
      <c r="H5" s="23" t="s">
        <v>1257</v>
      </c>
      <c r="I5" s="25" t="s">
        <v>120</v>
      </c>
      <c r="J5" s="23" t="s">
        <v>194</v>
      </c>
      <c r="K5" s="23" t="s">
        <v>1258</v>
      </c>
      <c r="L5" s="23" t="s">
        <v>1259</v>
      </c>
    </row>
    <row r="6" spans="1:12" ht="28.5" customHeight="1">
      <c r="A6" s="23" t="s">
        <v>199</v>
      </c>
      <c r="B6" s="23" t="s">
        <v>200</v>
      </c>
      <c r="C6" s="24" t="s">
        <v>201</v>
      </c>
      <c r="D6" s="25" t="s">
        <v>115</v>
      </c>
      <c r="E6" s="23" t="s">
        <v>207</v>
      </c>
      <c r="F6" s="23">
        <v>6</v>
      </c>
      <c r="G6" s="23" t="s">
        <v>208</v>
      </c>
      <c r="H6" s="23" t="s">
        <v>1254</v>
      </c>
      <c r="I6" s="25" t="s">
        <v>120</v>
      </c>
      <c r="J6" s="23" t="s">
        <v>209</v>
      </c>
      <c r="K6" s="23" t="s">
        <v>1260</v>
      </c>
      <c r="L6" s="24" t="s">
        <v>1261</v>
      </c>
    </row>
    <row r="7" spans="1:12" ht="28.5" customHeight="1">
      <c r="A7" s="23" t="s">
        <v>217</v>
      </c>
      <c r="B7" s="23" t="s">
        <v>55</v>
      </c>
      <c r="C7" s="24" t="s">
        <v>218</v>
      </c>
      <c r="D7" s="25" t="s">
        <v>115</v>
      </c>
      <c r="E7" s="23" t="s">
        <v>225</v>
      </c>
      <c r="F7" s="23">
        <v>2748</v>
      </c>
      <c r="G7" s="23" t="s">
        <v>226</v>
      </c>
      <c r="H7" s="23" t="s">
        <v>1262</v>
      </c>
      <c r="I7" s="25" t="s">
        <v>120</v>
      </c>
      <c r="J7" s="23" t="s">
        <v>227</v>
      </c>
      <c r="K7" s="23" t="s">
        <v>1263</v>
      </c>
      <c r="L7" s="24" t="s">
        <v>1264</v>
      </c>
    </row>
    <row r="8" spans="1:12" ht="16.5" customHeight="1">
      <c r="A8" s="23" t="s">
        <v>232</v>
      </c>
      <c r="B8" s="23" t="s">
        <v>233</v>
      </c>
      <c r="C8" s="24" t="s">
        <v>234</v>
      </c>
      <c r="D8" s="25" t="s">
        <v>115</v>
      </c>
      <c r="E8" s="23" t="s">
        <v>241</v>
      </c>
      <c r="F8" s="23">
        <v>16</v>
      </c>
      <c r="G8" s="23" t="s">
        <v>242</v>
      </c>
      <c r="H8" s="23" t="s">
        <v>1254</v>
      </c>
      <c r="I8" s="25" t="s">
        <v>120</v>
      </c>
      <c r="J8" s="23" t="s">
        <v>243</v>
      </c>
      <c r="K8" s="23" t="s">
        <v>1265</v>
      </c>
      <c r="L8" s="23"/>
    </row>
    <row r="9" spans="1:12" ht="28.5" customHeight="1">
      <c r="A9" s="23" t="s">
        <v>251</v>
      </c>
      <c r="B9" s="23" t="s">
        <v>252</v>
      </c>
      <c r="C9" s="24" t="s">
        <v>253</v>
      </c>
      <c r="D9" s="25" t="s">
        <v>115</v>
      </c>
      <c r="E9" s="23" t="s">
        <v>266</v>
      </c>
      <c r="F9" s="23">
        <v>1475</v>
      </c>
      <c r="G9" s="23" t="s">
        <v>175</v>
      </c>
      <c r="H9" s="23" t="s">
        <v>1262</v>
      </c>
      <c r="I9" s="25" t="s">
        <v>120</v>
      </c>
      <c r="J9" s="23" t="s">
        <v>267</v>
      </c>
      <c r="K9" s="23" t="s">
        <v>1266</v>
      </c>
      <c r="L9" s="23" t="s">
        <v>1267</v>
      </c>
    </row>
    <row r="10" spans="1:12" ht="114" customHeight="1">
      <c r="A10" s="23" t="s">
        <v>274</v>
      </c>
      <c r="B10" s="23" t="s">
        <v>275</v>
      </c>
      <c r="C10" s="24" t="s">
        <v>276</v>
      </c>
      <c r="D10" s="25" t="s">
        <v>115</v>
      </c>
      <c r="E10" s="23" t="s">
        <v>282</v>
      </c>
      <c r="F10" s="23">
        <v>183</v>
      </c>
      <c r="G10" s="23" t="s">
        <v>283</v>
      </c>
      <c r="H10" s="23" t="s">
        <v>1251</v>
      </c>
      <c r="I10" s="27" t="s">
        <v>149</v>
      </c>
      <c r="J10" s="23" t="s">
        <v>284</v>
      </c>
      <c r="K10" s="23" t="s">
        <v>1268</v>
      </c>
      <c r="L10" s="23" t="s">
        <v>1269</v>
      </c>
    </row>
    <row r="11" spans="1:12" ht="85.5" customHeight="1">
      <c r="A11" s="23" t="s">
        <v>292</v>
      </c>
      <c r="B11" s="23" t="s">
        <v>57</v>
      </c>
      <c r="C11" s="24" t="s">
        <v>293</v>
      </c>
      <c r="D11" s="25" t="s">
        <v>115</v>
      </c>
      <c r="E11" s="23" t="s">
        <v>302</v>
      </c>
      <c r="F11" s="23">
        <v>8</v>
      </c>
      <c r="G11" s="23" t="s">
        <v>222</v>
      </c>
      <c r="H11" s="23" t="s">
        <v>1254</v>
      </c>
      <c r="I11" s="25" t="s">
        <v>120</v>
      </c>
      <c r="J11" s="23" t="s">
        <v>303</v>
      </c>
      <c r="K11" s="23" t="s">
        <v>1270</v>
      </c>
      <c r="L11" s="24" t="s">
        <v>1271</v>
      </c>
    </row>
    <row r="12" spans="1:12" ht="28.5" customHeight="1">
      <c r="A12" s="23" t="s">
        <v>310</v>
      </c>
      <c r="B12" s="23" t="s">
        <v>311</v>
      </c>
      <c r="C12" s="24" t="s">
        <v>312</v>
      </c>
      <c r="D12" s="25" t="s">
        <v>115</v>
      </c>
      <c r="E12" s="23" t="s">
        <v>318</v>
      </c>
      <c r="F12" s="23">
        <v>724</v>
      </c>
      <c r="G12" s="23" t="s">
        <v>163</v>
      </c>
      <c r="H12" s="23" t="s">
        <v>1254</v>
      </c>
      <c r="I12" s="25" t="s">
        <v>120</v>
      </c>
      <c r="J12" s="23" t="s">
        <v>319</v>
      </c>
      <c r="K12" s="23" t="s">
        <v>1272</v>
      </c>
      <c r="L12" s="23"/>
    </row>
    <row r="13" spans="1:12" ht="28.5" customHeight="1">
      <c r="A13" s="23" t="s">
        <v>324</v>
      </c>
      <c r="B13" s="23" t="s">
        <v>325</v>
      </c>
      <c r="C13" s="24" t="s">
        <v>326</v>
      </c>
      <c r="D13" s="25" t="s">
        <v>115</v>
      </c>
      <c r="E13" s="23" t="s">
        <v>333</v>
      </c>
      <c r="F13" s="23">
        <v>116</v>
      </c>
      <c r="G13" s="23" t="s">
        <v>283</v>
      </c>
      <c r="H13" s="23" t="s">
        <v>1254</v>
      </c>
      <c r="I13" s="27" t="s">
        <v>149</v>
      </c>
      <c r="J13" s="23" t="s">
        <v>334</v>
      </c>
      <c r="K13" s="23" t="s">
        <v>1273</v>
      </c>
      <c r="L13" s="23" t="s">
        <v>1274</v>
      </c>
    </row>
    <row r="14" spans="1:12" ht="28.5" customHeight="1">
      <c r="A14" s="23" t="s">
        <v>340</v>
      </c>
      <c r="B14" s="23" t="s">
        <v>341</v>
      </c>
      <c r="C14" s="24" t="s">
        <v>342</v>
      </c>
      <c r="D14" s="25" t="s">
        <v>115</v>
      </c>
      <c r="E14" s="23" t="s">
        <v>348</v>
      </c>
      <c r="F14" s="23">
        <v>31</v>
      </c>
      <c r="G14" s="23" t="s">
        <v>349</v>
      </c>
      <c r="H14" s="23" t="s">
        <v>1254</v>
      </c>
      <c r="I14" s="25" t="s">
        <v>120</v>
      </c>
      <c r="J14" s="23" t="s">
        <v>350</v>
      </c>
      <c r="K14" s="23" t="s">
        <v>1275</v>
      </c>
      <c r="L14" s="23"/>
    </row>
    <row r="15" spans="1:12" ht="42.75" customHeight="1">
      <c r="A15" s="23" t="s">
        <v>354</v>
      </c>
      <c r="B15" s="23" t="s">
        <v>355</v>
      </c>
      <c r="C15" s="24" t="s">
        <v>356</v>
      </c>
      <c r="D15" s="25" t="s">
        <v>115</v>
      </c>
      <c r="E15" s="23" t="s">
        <v>364</v>
      </c>
      <c r="F15" s="23">
        <v>2145</v>
      </c>
      <c r="G15" s="23" t="s">
        <v>365</v>
      </c>
      <c r="H15" s="23" t="s">
        <v>1276</v>
      </c>
      <c r="I15" s="27" t="s">
        <v>149</v>
      </c>
      <c r="J15" s="23" t="s">
        <v>366</v>
      </c>
      <c r="K15" s="23" t="s">
        <v>1277</v>
      </c>
      <c r="L15" s="23" t="s">
        <v>1278</v>
      </c>
    </row>
    <row r="16" spans="1:12" ht="42.75" customHeight="1">
      <c r="A16" s="23" t="s">
        <v>372</v>
      </c>
      <c r="B16" s="23" t="s">
        <v>373</v>
      </c>
      <c r="C16" s="24" t="s">
        <v>374</v>
      </c>
      <c r="D16" s="25" t="s">
        <v>115</v>
      </c>
      <c r="E16" s="23" t="s">
        <v>380</v>
      </c>
      <c r="F16" s="23">
        <v>136</v>
      </c>
      <c r="G16" s="23" t="s">
        <v>381</v>
      </c>
      <c r="H16" s="23" t="s">
        <v>1257</v>
      </c>
      <c r="I16" s="25" t="s">
        <v>120</v>
      </c>
      <c r="J16" s="23" t="s">
        <v>382</v>
      </c>
      <c r="K16" s="23" t="s">
        <v>1279</v>
      </c>
      <c r="L16" s="24" t="s">
        <v>1280</v>
      </c>
    </row>
    <row r="17" spans="1:12" ht="57" customHeight="1">
      <c r="A17" s="23" t="s">
        <v>389</v>
      </c>
      <c r="B17" s="23" t="s">
        <v>390</v>
      </c>
      <c r="C17" s="24" t="s">
        <v>391</v>
      </c>
      <c r="D17" s="25" t="s">
        <v>115</v>
      </c>
      <c r="E17" s="23" t="s">
        <v>399</v>
      </c>
      <c r="F17" s="23">
        <v>195</v>
      </c>
      <c r="G17" s="23" t="s">
        <v>400</v>
      </c>
      <c r="H17" s="23" t="s">
        <v>1254</v>
      </c>
      <c r="I17" s="25" t="s">
        <v>120</v>
      </c>
      <c r="J17" s="23" t="s">
        <v>401</v>
      </c>
      <c r="K17" s="23" t="s">
        <v>1281</v>
      </c>
      <c r="L17" s="23" t="s">
        <v>1282</v>
      </c>
    </row>
    <row r="18" spans="1:12" ht="42.75" customHeight="1">
      <c r="A18" s="23" t="s">
        <v>407</v>
      </c>
      <c r="B18" s="23" t="s">
        <v>408</v>
      </c>
      <c r="C18" s="24" t="s">
        <v>409</v>
      </c>
      <c r="D18" s="25" t="s">
        <v>115</v>
      </c>
      <c r="E18" s="23" t="s">
        <v>416</v>
      </c>
      <c r="F18" s="23">
        <v>8147</v>
      </c>
      <c r="G18" s="23" t="s">
        <v>131</v>
      </c>
      <c r="H18" s="23" t="s">
        <v>1262</v>
      </c>
      <c r="I18" s="25" t="s">
        <v>120</v>
      </c>
      <c r="J18" s="23" t="s">
        <v>417</v>
      </c>
      <c r="K18" s="23" t="s">
        <v>1283</v>
      </c>
      <c r="L18" s="23" t="s">
        <v>1284</v>
      </c>
    </row>
    <row r="19" spans="1:12" ht="42.75" customHeight="1">
      <c r="A19" s="23" t="s">
        <v>422</v>
      </c>
      <c r="B19" s="23" t="s">
        <v>423</v>
      </c>
      <c r="C19" s="24" t="s">
        <v>424</v>
      </c>
      <c r="D19" s="25" t="s">
        <v>115</v>
      </c>
      <c r="E19" s="23" t="s">
        <v>430</v>
      </c>
      <c r="F19" s="23">
        <v>785</v>
      </c>
      <c r="G19" s="23" t="s">
        <v>431</v>
      </c>
      <c r="H19" s="23" t="s">
        <v>1262</v>
      </c>
      <c r="I19" s="27" t="s">
        <v>149</v>
      </c>
      <c r="J19" s="23" t="s">
        <v>1285</v>
      </c>
      <c r="K19" s="23" t="s">
        <v>1286</v>
      </c>
      <c r="L19" s="24" t="s">
        <v>1287</v>
      </c>
    </row>
    <row r="20" spans="1:12" ht="42.75" customHeight="1">
      <c r="A20" s="23" t="s">
        <v>439</v>
      </c>
      <c r="B20" s="23" t="s">
        <v>440</v>
      </c>
      <c r="C20" s="24" t="s">
        <v>441</v>
      </c>
      <c r="D20" s="25" t="s">
        <v>115</v>
      </c>
      <c r="E20" s="23" t="s">
        <v>241</v>
      </c>
      <c r="F20" s="23">
        <v>11</v>
      </c>
      <c r="G20" s="23" t="s">
        <v>381</v>
      </c>
      <c r="H20" s="23" t="s">
        <v>1254</v>
      </c>
      <c r="I20" s="25" t="s">
        <v>120</v>
      </c>
      <c r="J20" s="23" t="s">
        <v>447</v>
      </c>
      <c r="K20" s="23" t="s">
        <v>1288</v>
      </c>
      <c r="L20" s="23"/>
    </row>
    <row r="21" spans="1:12" ht="42.75" customHeight="1">
      <c r="A21" s="23" t="s">
        <v>452</v>
      </c>
      <c r="B21" s="23" t="s">
        <v>453</v>
      </c>
      <c r="C21" s="24" t="s">
        <v>454</v>
      </c>
      <c r="D21" s="25" t="s">
        <v>115</v>
      </c>
      <c r="E21" s="23" t="s">
        <v>458</v>
      </c>
      <c r="F21" s="23">
        <v>577</v>
      </c>
      <c r="G21" s="23" t="s">
        <v>288</v>
      </c>
      <c r="H21" s="23" t="s">
        <v>1254</v>
      </c>
      <c r="I21" s="25" t="s">
        <v>120</v>
      </c>
      <c r="J21" s="23" t="s">
        <v>459</v>
      </c>
      <c r="K21" s="23" t="s">
        <v>1289</v>
      </c>
      <c r="L21" s="23"/>
    </row>
    <row r="22" spans="1:12" ht="28.5" customHeight="1">
      <c r="A22" s="23" t="s">
        <v>465</v>
      </c>
      <c r="B22" s="23" t="s">
        <v>466</v>
      </c>
      <c r="C22" s="24" t="s">
        <v>467</v>
      </c>
      <c r="D22" s="25" t="s">
        <v>115</v>
      </c>
      <c r="E22" s="23" t="s">
        <v>474</v>
      </c>
      <c r="F22" s="23">
        <v>215</v>
      </c>
      <c r="G22" s="23" t="s">
        <v>475</v>
      </c>
      <c r="H22" s="23" t="s">
        <v>1257</v>
      </c>
      <c r="I22" s="25" t="s">
        <v>120</v>
      </c>
      <c r="J22" s="23" t="s">
        <v>476</v>
      </c>
      <c r="K22" s="23" t="s">
        <v>1290</v>
      </c>
      <c r="L22" s="24" t="s">
        <v>1291</v>
      </c>
    </row>
    <row r="23" spans="1:12" ht="28.5" customHeight="1">
      <c r="A23" s="23" t="s">
        <v>482</v>
      </c>
      <c r="B23" s="23" t="s">
        <v>483</v>
      </c>
      <c r="C23" s="24" t="s">
        <v>484</v>
      </c>
      <c r="D23" s="25" t="s">
        <v>115</v>
      </c>
      <c r="E23" s="23" t="s">
        <v>474</v>
      </c>
      <c r="F23" s="23">
        <v>132</v>
      </c>
      <c r="G23" s="23" t="s">
        <v>488</v>
      </c>
      <c r="H23" s="23" t="s">
        <v>1251</v>
      </c>
      <c r="I23" s="25" t="s">
        <v>120</v>
      </c>
      <c r="J23" s="23" t="s">
        <v>490</v>
      </c>
      <c r="K23" s="23" t="s">
        <v>1292</v>
      </c>
      <c r="L23" s="23"/>
    </row>
    <row r="24" spans="1:12" ht="28.5" customHeight="1">
      <c r="A24" s="23" t="s">
        <v>496</v>
      </c>
      <c r="B24" s="23" t="s">
        <v>497</v>
      </c>
      <c r="C24" s="24" t="s">
        <v>498</v>
      </c>
      <c r="D24" s="25" t="s">
        <v>115</v>
      </c>
      <c r="E24" s="23" t="s">
        <v>474</v>
      </c>
      <c r="F24" s="23">
        <v>106</v>
      </c>
      <c r="G24" s="23" t="s">
        <v>365</v>
      </c>
      <c r="H24" s="23" t="s">
        <v>1257</v>
      </c>
      <c r="I24" s="25" t="s">
        <v>120</v>
      </c>
      <c r="J24" s="23" t="s">
        <v>504</v>
      </c>
      <c r="K24" s="23" t="s">
        <v>1293</v>
      </c>
      <c r="L24" s="23"/>
    </row>
    <row r="25" spans="1:12" ht="42.75" customHeight="1">
      <c r="A25" s="23" t="s">
        <v>509</v>
      </c>
      <c r="B25" s="23" t="s">
        <v>510</v>
      </c>
      <c r="C25" s="24" t="s">
        <v>511</v>
      </c>
      <c r="D25" s="25" t="s">
        <v>115</v>
      </c>
      <c r="E25" s="23" t="s">
        <v>474</v>
      </c>
      <c r="F25" s="23">
        <v>51</v>
      </c>
      <c r="G25" s="23" t="s">
        <v>316</v>
      </c>
      <c r="H25" s="23" t="s">
        <v>1257</v>
      </c>
      <c r="I25" s="25" t="s">
        <v>120</v>
      </c>
      <c r="J25" s="23" t="s">
        <v>516</v>
      </c>
      <c r="K25" s="23" t="s">
        <v>1294</v>
      </c>
      <c r="L25" s="23"/>
    </row>
    <row r="26" spans="1:12" ht="28.5" customHeight="1">
      <c r="A26" s="23" t="s">
        <v>523</v>
      </c>
      <c r="B26" s="23" t="s">
        <v>524</v>
      </c>
      <c r="C26" s="24" t="s">
        <v>525</v>
      </c>
      <c r="D26" s="44" t="s">
        <v>1295</v>
      </c>
      <c r="E26" s="23"/>
      <c r="F26" s="23"/>
      <c r="G26" s="23"/>
      <c r="H26" s="23"/>
      <c r="I26" s="23"/>
      <c r="J26" s="23"/>
      <c r="K26" s="23"/>
      <c r="L26" s="23" t="s">
        <v>1296</v>
      </c>
    </row>
    <row r="27" spans="1:12" ht="27.75" customHeight="1">
      <c r="A27" s="23" t="s">
        <v>534</v>
      </c>
      <c r="B27" s="23" t="s">
        <v>535</v>
      </c>
      <c r="C27" s="24" t="s">
        <v>536</v>
      </c>
      <c r="D27" s="25" t="s">
        <v>115</v>
      </c>
      <c r="E27" s="23" t="s">
        <v>174</v>
      </c>
      <c r="F27" s="23">
        <v>19</v>
      </c>
      <c r="G27" s="23" t="s">
        <v>381</v>
      </c>
      <c r="H27" s="23" t="s">
        <v>1254</v>
      </c>
      <c r="I27" s="25" t="s">
        <v>120</v>
      </c>
      <c r="J27" s="23" t="s">
        <v>542</v>
      </c>
      <c r="K27" s="23" t="s">
        <v>1297</v>
      </c>
      <c r="L27" s="23"/>
    </row>
    <row r="28" spans="1:12" ht="42.75" customHeight="1">
      <c r="A28" s="23" t="s">
        <v>548</v>
      </c>
      <c r="B28" s="23" t="s">
        <v>549</v>
      </c>
      <c r="C28" s="24" t="s">
        <v>550</v>
      </c>
      <c r="D28" s="25" t="s">
        <v>115</v>
      </c>
      <c r="E28" s="23" t="s">
        <v>557</v>
      </c>
      <c r="F28" s="23">
        <v>585</v>
      </c>
      <c r="G28" s="23" t="s">
        <v>316</v>
      </c>
      <c r="H28" s="23" t="s">
        <v>1262</v>
      </c>
      <c r="I28" s="25" t="s">
        <v>120</v>
      </c>
      <c r="J28" s="23" t="s">
        <v>558</v>
      </c>
      <c r="K28" s="23" t="s">
        <v>1298</v>
      </c>
      <c r="L28" s="23"/>
    </row>
    <row r="29" spans="1:12" ht="28.5" customHeight="1">
      <c r="A29" s="23" t="s">
        <v>565</v>
      </c>
      <c r="B29" s="23" t="s">
        <v>566</v>
      </c>
      <c r="C29" s="24" t="s">
        <v>567</v>
      </c>
      <c r="D29" s="25" t="s">
        <v>115</v>
      </c>
      <c r="E29" s="23" t="s">
        <v>241</v>
      </c>
      <c r="F29" s="23">
        <v>7</v>
      </c>
      <c r="G29" s="23" t="s">
        <v>283</v>
      </c>
      <c r="H29" s="23" t="s">
        <v>1254</v>
      </c>
      <c r="I29" s="25" t="s">
        <v>120</v>
      </c>
      <c r="J29" s="23" t="s">
        <v>573</v>
      </c>
      <c r="K29" s="23" t="s">
        <v>1299</v>
      </c>
      <c r="L29" s="23"/>
    </row>
    <row r="30" spans="1:12" ht="42.75" customHeight="1">
      <c r="A30" s="23" t="s">
        <v>580</v>
      </c>
      <c r="B30" s="23" t="s">
        <v>581</v>
      </c>
      <c r="C30" s="24" t="s">
        <v>582</v>
      </c>
      <c r="D30" s="25" t="s">
        <v>115</v>
      </c>
      <c r="E30" s="23" t="s">
        <v>590</v>
      </c>
      <c r="F30" s="23">
        <v>7</v>
      </c>
      <c r="G30" s="23" t="s">
        <v>381</v>
      </c>
      <c r="H30" s="23" t="s">
        <v>1254</v>
      </c>
      <c r="I30" s="25" t="s">
        <v>120</v>
      </c>
      <c r="J30" s="23" t="s">
        <v>591</v>
      </c>
      <c r="K30" s="23" t="s">
        <v>1300</v>
      </c>
      <c r="L30" s="24" t="s">
        <v>1301</v>
      </c>
    </row>
    <row r="31" spans="1:12" ht="42.75" customHeight="1">
      <c r="A31" s="23" t="s">
        <v>597</v>
      </c>
      <c r="B31" s="23" t="s">
        <v>598</v>
      </c>
      <c r="C31" s="24" t="s">
        <v>599</v>
      </c>
      <c r="D31" s="25" t="s">
        <v>115</v>
      </c>
      <c r="E31" s="23" t="s">
        <v>605</v>
      </c>
      <c r="F31" s="23">
        <v>48</v>
      </c>
      <c r="G31" s="23" t="s">
        <v>148</v>
      </c>
      <c r="H31" s="23" t="s">
        <v>1254</v>
      </c>
      <c r="I31" s="27" t="s">
        <v>149</v>
      </c>
      <c r="J31" s="23" t="s">
        <v>1302</v>
      </c>
      <c r="K31" s="23" t="s">
        <v>1303</v>
      </c>
      <c r="L31" s="24" t="s">
        <v>1304</v>
      </c>
    </row>
    <row r="32" spans="1:12" ht="28.5" customHeight="1">
      <c r="A32" s="23" t="s">
        <v>611</v>
      </c>
      <c r="B32" s="23" t="s">
        <v>612</v>
      </c>
      <c r="C32" s="24" t="s">
        <v>613</v>
      </c>
      <c r="D32" s="25" t="s">
        <v>115</v>
      </c>
      <c r="E32" s="23" t="s">
        <v>174</v>
      </c>
      <c r="F32" s="23">
        <v>30</v>
      </c>
      <c r="G32" s="23" t="s">
        <v>283</v>
      </c>
      <c r="H32" s="23" t="s">
        <v>1254</v>
      </c>
      <c r="I32" s="25" t="s">
        <v>120</v>
      </c>
      <c r="J32" s="23" t="s">
        <v>620</v>
      </c>
      <c r="K32" s="23" t="s">
        <v>1305</v>
      </c>
      <c r="L32" s="23"/>
    </row>
    <row r="33" spans="1:12" ht="28.5" customHeight="1">
      <c r="A33" s="23" t="s">
        <v>625</v>
      </c>
      <c r="B33" s="23" t="s">
        <v>626</v>
      </c>
      <c r="C33" s="24" t="s">
        <v>627</v>
      </c>
      <c r="D33" s="25" t="s">
        <v>115</v>
      </c>
      <c r="E33" s="23" t="s">
        <v>629</v>
      </c>
      <c r="F33" s="23">
        <v>8</v>
      </c>
      <c r="G33" s="23" t="s">
        <v>630</v>
      </c>
      <c r="H33" s="23" t="s">
        <v>1254</v>
      </c>
      <c r="I33" s="25" t="s">
        <v>120</v>
      </c>
      <c r="J33" s="23" t="s">
        <v>631</v>
      </c>
      <c r="K33" s="23" t="s">
        <v>1306</v>
      </c>
      <c r="L33" s="23" t="s">
        <v>1307</v>
      </c>
    </row>
    <row r="34" spans="1:12" ht="42.75" customHeight="1">
      <c r="A34" s="23" t="s">
        <v>634</v>
      </c>
      <c r="B34" s="23" t="s">
        <v>635</v>
      </c>
      <c r="C34" s="24" t="s">
        <v>636</v>
      </c>
      <c r="D34" s="25" t="s">
        <v>115</v>
      </c>
      <c r="E34" s="23" t="s">
        <v>641</v>
      </c>
      <c r="F34" s="23">
        <v>8</v>
      </c>
      <c r="G34" s="23" t="s">
        <v>445</v>
      </c>
      <c r="H34" s="23" t="s">
        <v>1254</v>
      </c>
      <c r="I34" s="25" t="s">
        <v>120</v>
      </c>
      <c r="J34" s="23" t="s">
        <v>642</v>
      </c>
      <c r="K34" s="23" t="s">
        <v>1308</v>
      </c>
      <c r="L34" s="23"/>
    </row>
    <row r="35" spans="1:12" ht="28.5" customHeight="1">
      <c r="A35" s="23" t="s">
        <v>647</v>
      </c>
      <c r="B35" s="23" t="s">
        <v>648</v>
      </c>
      <c r="C35" s="24" t="s">
        <v>649</v>
      </c>
      <c r="D35" s="44" t="s">
        <v>1295</v>
      </c>
      <c r="E35" s="23"/>
      <c r="F35" s="23"/>
      <c r="G35" s="23"/>
      <c r="H35" s="23"/>
      <c r="I35" s="23"/>
      <c r="J35" s="23"/>
      <c r="K35" s="23"/>
      <c r="L35" s="23" t="s">
        <v>1296</v>
      </c>
    </row>
    <row r="36" spans="1:12" ht="57" customHeight="1">
      <c r="A36" s="23" t="s">
        <v>657</v>
      </c>
      <c r="B36" s="23" t="s">
        <v>658</v>
      </c>
      <c r="C36" s="24" t="s">
        <v>659</v>
      </c>
      <c r="D36" s="25" t="s">
        <v>115</v>
      </c>
      <c r="E36" s="23" t="s">
        <v>663</v>
      </c>
      <c r="F36" s="23">
        <v>51</v>
      </c>
      <c r="G36" s="23" t="s">
        <v>664</v>
      </c>
      <c r="H36" s="23" t="s">
        <v>1254</v>
      </c>
      <c r="I36" s="27" t="s">
        <v>149</v>
      </c>
      <c r="J36" s="23" t="s">
        <v>665</v>
      </c>
      <c r="K36" s="23" t="s">
        <v>1309</v>
      </c>
      <c r="L36" s="24" t="s">
        <v>1310</v>
      </c>
    </row>
    <row r="37" spans="1:12" ht="28.5" customHeight="1">
      <c r="A37" s="23" t="s">
        <v>667</v>
      </c>
      <c r="B37" s="23" t="s">
        <v>668</v>
      </c>
      <c r="C37" s="24" t="s">
        <v>669</v>
      </c>
      <c r="D37" s="25" t="s">
        <v>115</v>
      </c>
      <c r="E37" s="23" t="s">
        <v>677</v>
      </c>
      <c r="F37" s="23">
        <v>78</v>
      </c>
      <c r="G37" s="23" t="s">
        <v>678</v>
      </c>
      <c r="H37" s="23" t="s">
        <v>1254</v>
      </c>
      <c r="I37" s="27" t="s">
        <v>149</v>
      </c>
      <c r="J37" s="23" t="s">
        <v>679</v>
      </c>
      <c r="K37" s="23" t="s">
        <v>1311</v>
      </c>
      <c r="L37" s="24" t="s">
        <v>1312</v>
      </c>
    </row>
    <row r="38" spans="1:12" ht="27.75" customHeight="1">
      <c r="A38" s="23" t="s">
        <v>35</v>
      </c>
      <c r="B38" s="23" t="s">
        <v>684</v>
      </c>
      <c r="C38" s="24" t="s">
        <v>685</v>
      </c>
      <c r="D38" s="25" t="s">
        <v>115</v>
      </c>
      <c r="E38" s="23" t="s">
        <v>692</v>
      </c>
      <c r="F38" s="23">
        <v>21</v>
      </c>
      <c r="G38" s="23" t="s">
        <v>189</v>
      </c>
      <c r="H38" s="23" t="s">
        <v>1254</v>
      </c>
      <c r="I38" s="25" t="s">
        <v>120</v>
      </c>
      <c r="J38" s="23" t="s">
        <v>693</v>
      </c>
      <c r="K38" s="23" t="s">
        <v>1313</v>
      </c>
      <c r="L38" s="24" t="s">
        <v>1314</v>
      </c>
    </row>
    <row r="39" spans="1:12" ht="43.5" customHeight="1">
      <c r="A39" s="23" t="s">
        <v>700</v>
      </c>
      <c r="B39" s="23" t="s">
        <v>701</v>
      </c>
      <c r="C39" s="24" t="s">
        <v>702</v>
      </c>
      <c r="D39" s="25" t="s">
        <v>115</v>
      </c>
      <c r="E39" s="23" t="s">
        <v>707</v>
      </c>
      <c r="F39" s="23">
        <v>7</v>
      </c>
      <c r="G39" s="23" t="s">
        <v>708</v>
      </c>
      <c r="H39" s="23" t="s">
        <v>1254</v>
      </c>
      <c r="I39" s="25" t="s">
        <v>120</v>
      </c>
      <c r="J39" s="23" t="s">
        <v>709</v>
      </c>
      <c r="K39" s="23" t="s">
        <v>1315</v>
      </c>
      <c r="L39" s="24" t="s">
        <v>1316</v>
      </c>
    </row>
    <row r="40" spans="1:12" ht="85.5" customHeight="1">
      <c r="A40" s="23" t="s">
        <v>714</v>
      </c>
      <c r="B40" s="23" t="s">
        <v>715</v>
      </c>
      <c r="C40" s="24" t="s">
        <v>716</v>
      </c>
      <c r="D40" s="25" t="s">
        <v>115</v>
      </c>
      <c r="E40" s="23" t="s">
        <v>720</v>
      </c>
      <c r="F40" s="23">
        <v>3</v>
      </c>
      <c r="G40" s="23" t="s">
        <v>646</v>
      </c>
      <c r="H40" s="23" t="s">
        <v>1254</v>
      </c>
      <c r="I40" s="27" t="s">
        <v>149</v>
      </c>
      <c r="J40" s="23" t="s">
        <v>721</v>
      </c>
      <c r="K40" s="23" t="s">
        <v>1317</v>
      </c>
      <c r="L40" s="24" t="s">
        <v>1318</v>
      </c>
    </row>
    <row r="41" spans="1:12" ht="28.5" customHeight="1">
      <c r="A41" s="23" t="s">
        <v>729</v>
      </c>
      <c r="B41" s="23" t="s">
        <v>730</v>
      </c>
      <c r="C41" s="24" t="s">
        <v>731</v>
      </c>
      <c r="D41" s="25" t="s">
        <v>115</v>
      </c>
      <c r="E41" s="23" t="s">
        <v>737</v>
      </c>
      <c r="F41" s="23">
        <v>2</v>
      </c>
      <c r="G41" s="23" t="s">
        <v>738</v>
      </c>
      <c r="H41" s="23" t="s">
        <v>1254</v>
      </c>
      <c r="I41" s="25" t="s">
        <v>120</v>
      </c>
      <c r="J41" s="23" t="s">
        <v>739</v>
      </c>
      <c r="K41" s="23" t="s">
        <v>1281</v>
      </c>
      <c r="L41" s="23"/>
    </row>
    <row r="42" spans="1:12" ht="28.5" customHeight="1">
      <c r="A42" s="23" t="s">
        <v>746</v>
      </c>
      <c r="B42" s="23" t="s">
        <v>59</v>
      </c>
      <c r="C42" s="24" t="s">
        <v>747</v>
      </c>
      <c r="D42" s="25" t="s">
        <v>115</v>
      </c>
      <c r="E42" s="23" t="s">
        <v>752</v>
      </c>
      <c r="F42" s="23">
        <v>5</v>
      </c>
      <c r="G42" s="23" t="s">
        <v>193</v>
      </c>
      <c r="H42" s="23" t="s">
        <v>1257</v>
      </c>
      <c r="I42" s="27" t="s">
        <v>149</v>
      </c>
      <c r="J42" s="23" t="s">
        <v>753</v>
      </c>
      <c r="K42" s="24" t="s">
        <v>1319</v>
      </c>
      <c r="L42" s="23" t="s">
        <v>1320</v>
      </c>
    </row>
    <row r="43" spans="1:12" ht="71.25" customHeight="1">
      <c r="A43" s="23" t="s">
        <v>760</v>
      </c>
      <c r="B43" s="23" t="s">
        <v>761</v>
      </c>
      <c r="C43" s="24" t="s">
        <v>762</v>
      </c>
      <c r="D43" s="25" t="s">
        <v>115</v>
      </c>
      <c r="E43" s="23" t="s">
        <v>767</v>
      </c>
      <c r="F43" s="23">
        <v>13</v>
      </c>
      <c r="G43" s="23" t="s">
        <v>381</v>
      </c>
      <c r="H43" s="23" t="s">
        <v>1254</v>
      </c>
      <c r="I43" s="25" t="s">
        <v>120</v>
      </c>
      <c r="J43" s="23" t="s">
        <v>768</v>
      </c>
      <c r="K43" s="23" t="s">
        <v>1321</v>
      </c>
      <c r="L43" s="24" t="s">
        <v>1322</v>
      </c>
    </row>
    <row r="44" spans="1:12" ht="16.5" customHeight="1">
      <c r="A44" s="23" t="s">
        <v>775</v>
      </c>
      <c r="B44" s="23" t="s">
        <v>776</v>
      </c>
      <c r="C44" s="24" t="s">
        <v>777</v>
      </c>
      <c r="D44" s="25" t="s">
        <v>115</v>
      </c>
      <c r="E44" s="23" t="s">
        <v>778</v>
      </c>
      <c r="F44" s="23">
        <v>48</v>
      </c>
      <c r="G44" s="23" t="s">
        <v>779</v>
      </c>
      <c r="H44" s="23" t="s">
        <v>1323</v>
      </c>
      <c r="I44" s="27" t="s">
        <v>149</v>
      </c>
      <c r="J44" s="23" t="s">
        <v>780</v>
      </c>
      <c r="K44" s="23" t="s">
        <v>1324</v>
      </c>
      <c r="L44" s="24" t="s">
        <v>1325</v>
      </c>
    </row>
    <row r="45" spans="1:12" ht="28.5" customHeight="1">
      <c r="A45" s="23" t="s">
        <v>781</v>
      </c>
      <c r="B45" s="23" t="s">
        <v>782</v>
      </c>
      <c r="C45" s="24" t="s">
        <v>783</v>
      </c>
      <c r="D45" s="25" t="s">
        <v>115</v>
      </c>
      <c r="E45" s="23" t="s">
        <v>784</v>
      </c>
      <c r="F45" s="23">
        <v>2</v>
      </c>
      <c r="G45" s="23" t="s">
        <v>381</v>
      </c>
      <c r="H45" s="23" t="s">
        <v>1254</v>
      </c>
      <c r="I45" s="25" t="s">
        <v>120</v>
      </c>
      <c r="J45" s="23" t="s">
        <v>785</v>
      </c>
      <c r="K45" s="23" t="s">
        <v>1326</v>
      </c>
      <c r="L45" s="24" t="s">
        <v>1327</v>
      </c>
    </row>
    <row r="46" spans="1:12" ht="42.75" customHeight="1">
      <c r="A46" s="23" t="s">
        <v>786</v>
      </c>
      <c r="B46" s="23" t="s">
        <v>787</v>
      </c>
      <c r="C46" s="24" t="s">
        <v>788</v>
      </c>
      <c r="D46" s="25" t="s">
        <v>115</v>
      </c>
      <c r="E46" s="23" t="s">
        <v>795</v>
      </c>
      <c r="F46" s="23">
        <v>784</v>
      </c>
      <c r="G46" s="23" t="s">
        <v>646</v>
      </c>
      <c r="H46" s="23" t="s">
        <v>1254</v>
      </c>
      <c r="I46" s="25" t="s">
        <v>120</v>
      </c>
      <c r="J46" s="23" t="s">
        <v>796</v>
      </c>
      <c r="K46" s="23" t="s">
        <v>1328</v>
      </c>
      <c r="L46" s="23"/>
    </row>
    <row r="47" spans="1:12" ht="28.5" customHeight="1">
      <c r="A47" s="23" t="s">
        <v>801</v>
      </c>
      <c r="B47" s="23" t="s">
        <v>802</v>
      </c>
      <c r="C47" s="24" t="s">
        <v>803</v>
      </c>
      <c r="D47" s="25" t="s">
        <v>115</v>
      </c>
      <c r="E47" s="23" t="s">
        <v>806</v>
      </c>
      <c r="F47" s="23">
        <v>9</v>
      </c>
      <c r="G47" s="23" t="s">
        <v>445</v>
      </c>
      <c r="H47" s="23" t="s">
        <v>1254</v>
      </c>
      <c r="I47" s="27" t="s">
        <v>149</v>
      </c>
      <c r="J47" s="23" t="s">
        <v>807</v>
      </c>
      <c r="K47" s="23" t="s">
        <v>1329</v>
      </c>
      <c r="L47" s="23"/>
    </row>
    <row r="48" spans="1:12" ht="28.5" customHeight="1">
      <c r="A48" s="23" t="s">
        <v>812</v>
      </c>
      <c r="B48" s="23" t="s">
        <v>813</v>
      </c>
      <c r="C48" s="24" t="s">
        <v>814</v>
      </c>
      <c r="D48" s="25" t="s">
        <v>115</v>
      </c>
      <c r="E48" s="23" t="s">
        <v>241</v>
      </c>
      <c r="F48" s="23">
        <v>24</v>
      </c>
      <c r="G48" s="23" t="s">
        <v>445</v>
      </c>
      <c r="H48" s="23" t="s">
        <v>1254</v>
      </c>
      <c r="I48" s="25" t="s">
        <v>120</v>
      </c>
      <c r="J48" s="23" t="s">
        <v>821</v>
      </c>
      <c r="K48" s="23" t="s">
        <v>1330</v>
      </c>
      <c r="L48" s="23" t="s">
        <v>1331</v>
      </c>
    </row>
    <row r="49" spans="1:12" ht="28.5" customHeight="1">
      <c r="A49" s="23" t="s">
        <v>826</v>
      </c>
      <c r="B49" s="23" t="s">
        <v>827</v>
      </c>
      <c r="C49" s="24" t="s">
        <v>828</v>
      </c>
      <c r="D49" s="25" t="s">
        <v>115</v>
      </c>
      <c r="E49" s="23" t="s">
        <v>832</v>
      </c>
      <c r="F49" s="23">
        <v>13</v>
      </c>
      <c r="G49" s="23" t="s">
        <v>381</v>
      </c>
      <c r="H49" s="23" t="s">
        <v>1254</v>
      </c>
      <c r="I49" s="25" t="s">
        <v>120</v>
      </c>
      <c r="J49" s="23" t="s">
        <v>833</v>
      </c>
      <c r="K49" s="23" t="s">
        <v>1332</v>
      </c>
      <c r="L49" s="24" t="s">
        <v>1333</v>
      </c>
    </row>
    <row r="50" spans="1:12" ht="28.5" customHeight="1">
      <c r="A50" s="23" t="s">
        <v>836</v>
      </c>
      <c r="B50" s="23" t="s">
        <v>837</v>
      </c>
      <c r="C50" s="24" t="s">
        <v>838</v>
      </c>
      <c r="D50" s="44" t="s">
        <v>1295</v>
      </c>
      <c r="E50" s="23"/>
      <c r="F50" s="23"/>
      <c r="G50" s="23"/>
      <c r="H50" s="23"/>
      <c r="I50" s="23"/>
      <c r="J50" s="23"/>
      <c r="K50" s="23"/>
      <c r="L50" s="23" t="s">
        <v>1296</v>
      </c>
    </row>
    <row r="51" spans="1:12" ht="42.75" customHeight="1">
      <c r="A51" s="23" t="s">
        <v>839</v>
      </c>
      <c r="B51" s="23" t="s">
        <v>840</v>
      </c>
      <c r="C51" s="24" t="s">
        <v>841</v>
      </c>
      <c r="D51" s="25" t="s">
        <v>115</v>
      </c>
      <c r="E51" s="23" t="s">
        <v>847</v>
      </c>
      <c r="F51" s="23">
        <v>2938</v>
      </c>
      <c r="G51" s="23" t="s">
        <v>148</v>
      </c>
      <c r="H51" s="23" t="s">
        <v>1254</v>
      </c>
      <c r="I51" s="25" t="s">
        <v>120</v>
      </c>
      <c r="J51" s="23" t="s">
        <v>845</v>
      </c>
      <c r="K51" s="23" t="s">
        <v>1334</v>
      </c>
      <c r="L51" s="23" t="s">
        <v>1335</v>
      </c>
    </row>
    <row r="52" spans="1:12" ht="42.75" customHeight="1">
      <c r="A52" s="23" t="s">
        <v>852</v>
      </c>
      <c r="B52" s="23" t="s">
        <v>853</v>
      </c>
      <c r="C52" s="24" t="s">
        <v>854</v>
      </c>
      <c r="D52" s="25" t="s">
        <v>115</v>
      </c>
      <c r="E52" s="23" t="s">
        <v>859</v>
      </c>
      <c r="F52" s="23">
        <v>1402</v>
      </c>
      <c r="G52" s="23" t="s">
        <v>664</v>
      </c>
      <c r="H52" s="23" t="s">
        <v>1254</v>
      </c>
      <c r="I52" s="25" t="s">
        <v>120</v>
      </c>
      <c r="J52" s="23" t="s">
        <v>860</v>
      </c>
      <c r="K52" s="23" t="s">
        <v>1336</v>
      </c>
      <c r="L52" s="23" t="s">
        <v>1337</v>
      </c>
    </row>
    <row r="53" spans="1:12" ht="28.5" customHeight="1">
      <c r="A53" s="23" t="s">
        <v>866</v>
      </c>
      <c r="B53" s="23" t="s">
        <v>867</v>
      </c>
      <c r="C53" s="24" t="s">
        <v>868</v>
      </c>
      <c r="D53" s="25" t="s">
        <v>115</v>
      </c>
      <c r="E53" s="23" t="s">
        <v>873</v>
      </c>
      <c r="F53" s="23">
        <v>65</v>
      </c>
      <c r="G53" s="23" t="s">
        <v>163</v>
      </c>
      <c r="H53" s="23" t="s">
        <v>1254</v>
      </c>
      <c r="I53" s="25" t="s">
        <v>120</v>
      </c>
      <c r="J53" s="23" t="s">
        <v>872</v>
      </c>
      <c r="K53" s="23" t="s">
        <v>1338</v>
      </c>
      <c r="L53" s="24" t="s">
        <v>1339</v>
      </c>
    </row>
    <row r="54" spans="1:12" ht="42.75" customHeight="1">
      <c r="A54" s="23" t="s">
        <v>878</v>
      </c>
      <c r="B54" s="23" t="s">
        <v>879</v>
      </c>
      <c r="C54" s="24" t="s">
        <v>880</v>
      </c>
      <c r="D54" s="25" t="s">
        <v>115</v>
      </c>
      <c r="E54" s="23" t="s">
        <v>885</v>
      </c>
      <c r="F54" s="23">
        <v>59</v>
      </c>
      <c r="G54" s="23" t="s">
        <v>175</v>
      </c>
      <c r="H54" s="23" t="s">
        <v>1254</v>
      </c>
      <c r="I54" s="25" t="s">
        <v>120</v>
      </c>
      <c r="J54" s="23" t="s">
        <v>884</v>
      </c>
      <c r="K54" s="23" t="s">
        <v>1340</v>
      </c>
      <c r="L54" s="23" t="s">
        <v>1341</v>
      </c>
    </row>
    <row r="55" spans="1:12" ht="57" customHeight="1">
      <c r="A55" s="23" t="s">
        <v>890</v>
      </c>
      <c r="B55" s="23" t="s">
        <v>891</v>
      </c>
      <c r="C55" s="24" t="s">
        <v>892</v>
      </c>
      <c r="D55" s="25" t="s">
        <v>115</v>
      </c>
      <c r="E55" s="23" t="s">
        <v>898</v>
      </c>
      <c r="F55" s="23">
        <v>48</v>
      </c>
      <c r="G55" s="23" t="s">
        <v>157</v>
      </c>
      <c r="H55" s="23" t="s">
        <v>1254</v>
      </c>
      <c r="I55" s="25" t="s">
        <v>120</v>
      </c>
      <c r="J55" s="23" t="s">
        <v>896</v>
      </c>
      <c r="K55" s="23" t="s">
        <v>1342</v>
      </c>
      <c r="L55" s="23"/>
    </row>
    <row r="56" spans="1:12" ht="57" customHeight="1">
      <c r="A56" s="23" t="s">
        <v>903</v>
      </c>
      <c r="B56" s="23" t="s">
        <v>904</v>
      </c>
      <c r="C56" s="24" t="s">
        <v>905</v>
      </c>
      <c r="D56" s="25" t="s">
        <v>115</v>
      </c>
      <c r="E56" s="23" t="s">
        <v>898</v>
      </c>
      <c r="F56" s="23">
        <v>128</v>
      </c>
      <c r="G56" s="23" t="s">
        <v>157</v>
      </c>
      <c r="H56" s="23" t="s">
        <v>1254</v>
      </c>
      <c r="I56" s="25" t="s">
        <v>120</v>
      </c>
      <c r="J56" s="23" t="s">
        <v>896</v>
      </c>
      <c r="K56" s="23" t="s">
        <v>1342</v>
      </c>
      <c r="L56" s="23" t="s">
        <v>1343</v>
      </c>
    </row>
    <row r="57" spans="1:12" ht="42.75" customHeight="1">
      <c r="A57" s="23" t="s">
        <v>909</v>
      </c>
      <c r="B57" s="23" t="s">
        <v>910</v>
      </c>
      <c r="C57" s="24" t="s">
        <v>911</v>
      </c>
      <c r="D57" s="25" t="s">
        <v>115</v>
      </c>
      <c r="E57" s="23" t="s">
        <v>663</v>
      </c>
      <c r="F57" s="23">
        <v>385</v>
      </c>
      <c r="G57" s="23" t="s">
        <v>283</v>
      </c>
      <c r="H57" s="23" t="s">
        <v>1254</v>
      </c>
      <c r="I57" s="25" t="s">
        <v>120</v>
      </c>
      <c r="J57" s="23" t="s">
        <v>916</v>
      </c>
      <c r="K57" s="23" t="s">
        <v>1344</v>
      </c>
      <c r="L57" s="23" t="s">
        <v>1345</v>
      </c>
    </row>
    <row r="58" spans="1:12" ht="42.75" customHeight="1">
      <c r="A58" s="23" t="s">
        <v>920</v>
      </c>
      <c r="B58" s="23" t="s">
        <v>921</v>
      </c>
      <c r="C58" s="24" t="s">
        <v>922</v>
      </c>
      <c r="D58" s="25" t="s">
        <v>115</v>
      </c>
      <c r="E58" s="23" t="s">
        <v>927</v>
      </c>
      <c r="F58" s="23">
        <v>21</v>
      </c>
      <c r="G58" s="23" t="s">
        <v>462</v>
      </c>
      <c r="H58" s="23" t="s">
        <v>1257</v>
      </c>
      <c r="I58" s="27" t="s">
        <v>149</v>
      </c>
      <c r="J58" s="23" t="s">
        <v>928</v>
      </c>
      <c r="K58" s="23" t="s">
        <v>1346</v>
      </c>
      <c r="L58" s="24" t="s">
        <v>1347</v>
      </c>
    </row>
    <row r="59" spans="1:12" ht="28.5" customHeight="1">
      <c r="A59" s="23" t="s">
        <v>931</v>
      </c>
      <c r="B59" s="23" t="s">
        <v>932</v>
      </c>
      <c r="C59" s="24" t="s">
        <v>933</v>
      </c>
      <c r="D59" s="25" t="s">
        <v>115</v>
      </c>
      <c r="E59" s="23" t="s">
        <v>938</v>
      </c>
      <c r="F59" s="23">
        <v>3427</v>
      </c>
      <c r="G59" s="23" t="s">
        <v>249</v>
      </c>
      <c r="H59" s="23" t="s">
        <v>1254</v>
      </c>
      <c r="I59" s="25" t="s">
        <v>120</v>
      </c>
      <c r="J59" s="23" t="s">
        <v>939</v>
      </c>
      <c r="K59" s="23" t="s">
        <v>1348</v>
      </c>
      <c r="L59" s="24" t="s">
        <v>1349</v>
      </c>
    </row>
    <row r="60" spans="1:12" ht="28.5" customHeight="1">
      <c r="A60" s="23" t="s">
        <v>945</v>
      </c>
      <c r="B60" s="23" t="s">
        <v>946</v>
      </c>
      <c r="C60" s="24" t="s">
        <v>947</v>
      </c>
      <c r="D60" s="25" t="s">
        <v>115</v>
      </c>
      <c r="E60" s="23" t="s">
        <v>953</v>
      </c>
      <c r="F60" s="23">
        <v>26</v>
      </c>
      <c r="G60" s="23" t="s">
        <v>163</v>
      </c>
      <c r="H60" s="23" t="s">
        <v>1254</v>
      </c>
      <c r="I60" s="25" t="s">
        <v>120</v>
      </c>
      <c r="J60" s="23" t="s">
        <v>954</v>
      </c>
      <c r="K60" s="23" t="s">
        <v>1350</v>
      </c>
      <c r="L60" s="23"/>
    </row>
    <row r="61" spans="1:12" ht="42.75" customHeight="1">
      <c r="A61" s="23" t="s">
        <v>960</v>
      </c>
      <c r="B61" s="23" t="s">
        <v>961</v>
      </c>
      <c r="C61" s="24" t="s">
        <v>962</v>
      </c>
      <c r="D61" s="25" t="s">
        <v>115</v>
      </c>
      <c r="E61" s="23" t="s">
        <v>967</v>
      </c>
      <c r="F61" s="23">
        <v>268</v>
      </c>
      <c r="G61" s="23" t="s">
        <v>445</v>
      </c>
      <c r="H61" s="23" t="s">
        <v>1254</v>
      </c>
      <c r="I61" s="25" t="s">
        <v>120</v>
      </c>
      <c r="J61" s="23" t="s">
        <v>968</v>
      </c>
      <c r="K61" s="23" t="s">
        <v>1351</v>
      </c>
      <c r="L61" s="23"/>
    </row>
    <row r="62" spans="1:12" ht="42.75" customHeight="1">
      <c r="A62" s="23" t="s">
        <v>972</v>
      </c>
      <c r="B62" s="23" t="s">
        <v>973</v>
      </c>
      <c r="C62" s="24" t="s">
        <v>974</v>
      </c>
      <c r="D62" s="25" t="s">
        <v>115</v>
      </c>
      <c r="E62" s="23" t="s">
        <v>1352</v>
      </c>
      <c r="F62" s="23">
        <v>407</v>
      </c>
      <c r="G62" s="23" t="s">
        <v>980</v>
      </c>
      <c r="H62" s="23" t="s">
        <v>1254</v>
      </c>
      <c r="I62" s="25" t="s">
        <v>120</v>
      </c>
      <c r="J62" s="23" t="s">
        <v>981</v>
      </c>
      <c r="K62" s="23" t="s">
        <v>1353</v>
      </c>
      <c r="L62" s="23" t="s">
        <v>1354</v>
      </c>
    </row>
    <row r="63" spans="1:12" ht="42.75" customHeight="1">
      <c r="A63" s="23" t="s">
        <v>984</v>
      </c>
      <c r="B63" s="23" t="s">
        <v>985</v>
      </c>
      <c r="C63" s="24" t="s">
        <v>986</v>
      </c>
      <c r="D63" s="25" t="s">
        <v>115</v>
      </c>
      <c r="E63" s="23" t="s">
        <v>991</v>
      </c>
      <c r="F63" s="23">
        <v>958</v>
      </c>
      <c r="G63" s="23" t="s">
        <v>992</v>
      </c>
      <c r="H63" s="23" t="s">
        <v>1355</v>
      </c>
      <c r="I63" s="27" t="s">
        <v>149</v>
      </c>
      <c r="J63" s="23" t="s">
        <v>990</v>
      </c>
      <c r="K63" s="23" t="s">
        <v>1356</v>
      </c>
      <c r="L63" s="24" t="s">
        <v>1357</v>
      </c>
    </row>
    <row r="64" spans="1:12" ht="42.75" customHeight="1">
      <c r="A64" s="23" t="s">
        <v>999</v>
      </c>
      <c r="B64" s="23" t="s">
        <v>1000</v>
      </c>
      <c r="C64" s="24" t="s">
        <v>1001</v>
      </c>
      <c r="D64" s="25" t="s">
        <v>115</v>
      </c>
      <c r="E64" s="23" t="s">
        <v>1007</v>
      </c>
      <c r="F64" s="23">
        <v>6</v>
      </c>
      <c r="G64" s="23" t="s">
        <v>175</v>
      </c>
      <c r="H64" s="23" t="s">
        <v>1254</v>
      </c>
      <c r="I64" s="25" t="s">
        <v>120</v>
      </c>
      <c r="J64" s="23" t="s">
        <v>1008</v>
      </c>
      <c r="K64" s="23" t="s">
        <v>1358</v>
      </c>
      <c r="L64" s="24" t="s">
        <v>1359</v>
      </c>
    </row>
    <row r="65" spans="1:12" ht="28.5" customHeight="1">
      <c r="A65" s="23" t="s">
        <v>1012</v>
      </c>
      <c r="B65" s="23" t="s">
        <v>1013</v>
      </c>
      <c r="C65" s="24" t="s">
        <v>1014</v>
      </c>
      <c r="D65" s="25" t="s">
        <v>115</v>
      </c>
      <c r="E65" s="23" t="s">
        <v>885</v>
      </c>
      <c r="F65" s="23">
        <v>16</v>
      </c>
      <c r="G65" s="23" t="s">
        <v>1018</v>
      </c>
      <c r="H65" s="23" t="s">
        <v>1254</v>
      </c>
      <c r="I65" s="27" t="s">
        <v>149</v>
      </c>
      <c r="J65" s="23" t="s">
        <v>1019</v>
      </c>
      <c r="K65" s="23" t="s">
        <v>1360</v>
      </c>
      <c r="L65" s="23" t="s">
        <v>1361</v>
      </c>
    </row>
    <row r="66" spans="1:12" ht="57" customHeight="1">
      <c r="A66" s="23" t="s">
        <v>1024</v>
      </c>
      <c r="B66" s="23" t="s">
        <v>1025</v>
      </c>
      <c r="C66" s="24" t="s">
        <v>1026</v>
      </c>
      <c r="D66" s="25" t="s">
        <v>115</v>
      </c>
      <c r="E66" s="23" t="s">
        <v>898</v>
      </c>
      <c r="F66" s="23">
        <v>53</v>
      </c>
      <c r="G66" s="23" t="s">
        <v>157</v>
      </c>
      <c r="H66" s="23" t="s">
        <v>1254</v>
      </c>
      <c r="I66" s="25" t="s">
        <v>120</v>
      </c>
      <c r="J66" s="23" t="s">
        <v>896</v>
      </c>
      <c r="K66" s="23" t="s">
        <v>1342</v>
      </c>
      <c r="L66" s="24" t="s">
        <v>1362</v>
      </c>
    </row>
    <row r="67" spans="1:12" ht="57" customHeight="1">
      <c r="A67" s="23" t="s">
        <v>1031</v>
      </c>
      <c r="B67" s="23" t="s">
        <v>1032</v>
      </c>
      <c r="C67" s="24" t="s">
        <v>1033</v>
      </c>
      <c r="D67" s="25" t="s">
        <v>115</v>
      </c>
      <c r="E67" s="23" t="s">
        <v>898</v>
      </c>
      <c r="F67" s="23">
        <v>73</v>
      </c>
      <c r="G67" s="23" t="s">
        <v>157</v>
      </c>
      <c r="H67" s="23" t="s">
        <v>1254</v>
      </c>
      <c r="I67" s="25" t="s">
        <v>120</v>
      </c>
      <c r="J67" s="23" t="s">
        <v>896</v>
      </c>
      <c r="K67" s="23" t="s">
        <v>1342</v>
      </c>
      <c r="L67" s="23"/>
    </row>
    <row r="68" spans="1:12" ht="57" customHeight="1">
      <c r="A68" s="23" t="s">
        <v>1034</v>
      </c>
      <c r="B68" s="23" t="s">
        <v>1035</v>
      </c>
      <c r="C68" s="24" t="s">
        <v>1036</v>
      </c>
      <c r="D68" s="25" t="s">
        <v>115</v>
      </c>
      <c r="E68" s="23" t="s">
        <v>898</v>
      </c>
      <c r="F68" s="23">
        <v>116</v>
      </c>
      <c r="G68" s="23" t="s">
        <v>157</v>
      </c>
      <c r="H68" s="23" t="s">
        <v>1254</v>
      </c>
      <c r="I68" s="25" t="s">
        <v>120</v>
      </c>
      <c r="J68" s="23" t="s">
        <v>896</v>
      </c>
      <c r="K68" s="23" t="s">
        <v>1342</v>
      </c>
      <c r="L68" s="23"/>
    </row>
    <row r="69" spans="1:12" ht="42.75" customHeight="1">
      <c r="A69" s="23" t="s">
        <v>1037</v>
      </c>
      <c r="B69" s="23" t="s">
        <v>1038</v>
      </c>
      <c r="C69" s="24" t="s">
        <v>1039</v>
      </c>
      <c r="D69" s="25" t="s">
        <v>115</v>
      </c>
      <c r="E69" s="23" t="s">
        <v>663</v>
      </c>
      <c r="F69" s="23">
        <v>116</v>
      </c>
      <c r="G69" s="23" t="s">
        <v>148</v>
      </c>
      <c r="H69" s="23" t="s">
        <v>1254</v>
      </c>
      <c r="I69" s="27" t="s">
        <v>149</v>
      </c>
      <c r="J69" s="23" t="s">
        <v>1042</v>
      </c>
      <c r="K69" s="23" t="s">
        <v>1363</v>
      </c>
      <c r="L69" s="23"/>
    </row>
    <row r="70" spans="1:12" ht="42.75" customHeight="1">
      <c r="A70" s="23" t="s">
        <v>1045</v>
      </c>
      <c r="B70" s="23" t="s">
        <v>1046</v>
      </c>
      <c r="C70" s="24" t="s">
        <v>1047</v>
      </c>
      <c r="D70" s="25" t="s">
        <v>115</v>
      </c>
      <c r="E70" s="23" t="s">
        <v>885</v>
      </c>
      <c r="F70" s="23">
        <v>18</v>
      </c>
      <c r="G70" s="23" t="s">
        <v>646</v>
      </c>
      <c r="H70" s="23" t="s">
        <v>1254</v>
      </c>
      <c r="I70" s="25" t="s">
        <v>120</v>
      </c>
      <c r="J70" s="23" t="s">
        <v>915</v>
      </c>
      <c r="K70" s="23" t="s">
        <v>1364</v>
      </c>
      <c r="L70" s="23"/>
    </row>
    <row r="71" spans="1:12" ht="42.75" customHeight="1">
      <c r="A71" s="23" t="s">
        <v>1049</v>
      </c>
      <c r="B71" s="23" t="s">
        <v>1050</v>
      </c>
      <c r="C71" s="24" t="s">
        <v>1051</v>
      </c>
      <c r="D71" s="25" t="s">
        <v>115</v>
      </c>
      <c r="E71" s="23" t="s">
        <v>1057</v>
      </c>
      <c r="F71" s="23">
        <v>5346</v>
      </c>
      <c r="G71" s="23" t="s">
        <v>1058</v>
      </c>
      <c r="H71" s="23" t="s">
        <v>1365</v>
      </c>
      <c r="I71" s="25" t="s">
        <v>120</v>
      </c>
      <c r="J71" s="23" t="s">
        <v>1366</v>
      </c>
      <c r="K71" s="23" t="s">
        <v>1367</v>
      </c>
      <c r="L71" s="24" t="s">
        <v>1368</v>
      </c>
    </row>
    <row r="72" spans="1:12" ht="85.5" customHeight="1">
      <c r="A72" s="23" t="s">
        <v>1065</v>
      </c>
      <c r="B72" s="23" t="s">
        <v>1066</v>
      </c>
      <c r="C72" s="24" t="s">
        <v>1067</v>
      </c>
      <c r="D72" s="25" t="s">
        <v>115</v>
      </c>
      <c r="E72" s="23" t="s">
        <v>1074</v>
      </c>
      <c r="F72" s="23">
        <v>10</v>
      </c>
      <c r="G72" s="23" t="s">
        <v>381</v>
      </c>
      <c r="H72" s="23" t="s">
        <v>1254</v>
      </c>
      <c r="I72" s="25" t="s">
        <v>120</v>
      </c>
      <c r="J72" s="23" t="s">
        <v>1075</v>
      </c>
      <c r="K72" s="23" t="s">
        <v>1369</v>
      </c>
      <c r="L72" s="24" t="s">
        <v>1370</v>
      </c>
    </row>
    <row r="73" spans="1:12" ht="28.5" customHeight="1">
      <c r="A73" s="23" t="s">
        <v>1081</v>
      </c>
      <c r="B73" s="23" t="s">
        <v>1082</v>
      </c>
      <c r="C73" s="24" t="s">
        <v>1083</v>
      </c>
      <c r="D73" s="25" t="s">
        <v>115</v>
      </c>
      <c r="E73" s="23" t="s">
        <v>1089</v>
      </c>
      <c r="F73" s="23">
        <v>3500</v>
      </c>
      <c r="G73" s="23" t="s">
        <v>646</v>
      </c>
      <c r="H73" s="23" t="s">
        <v>1371</v>
      </c>
      <c r="I73" s="25" t="s">
        <v>120</v>
      </c>
      <c r="J73" s="23" t="s">
        <v>1090</v>
      </c>
      <c r="K73" s="23" t="s">
        <v>1372</v>
      </c>
      <c r="L73" s="23" t="s">
        <v>1373</v>
      </c>
    </row>
    <row r="74" spans="1:12" ht="71.25" customHeight="1">
      <c r="A74" s="23" t="s">
        <v>1097</v>
      </c>
      <c r="B74" s="23" t="s">
        <v>1098</v>
      </c>
      <c r="C74" s="24" t="s">
        <v>1099</v>
      </c>
      <c r="D74" s="25" t="s">
        <v>115</v>
      </c>
      <c r="E74" s="23" t="s">
        <v>1104</v>
      </c>
      <c r="F74" s="23">
        <v>339</v>
      </c>
      <c r="G74" s="23" t="s">
        <v>249</v>
      </c>
      <c r="H74" s="23" t="s">
        <v>1254</v>
      </c>
      <c r="I74" s="25" t="s">
        <v>120</v>
      </c>
      <c r="J74" s="23" t="s">
        <v>1105</v>
      </c>
      <c r="K74" s="23" t="s">
        <v>1374</v>
      </c>
      <c r="L74" s="24" t="s">
        <v>1375</v>
      </c>
    </row>
    <row r="75" spans="1:12" ht="28.5" customHeight="1">
      <c r="A75" s="23" t="s">
        <v>1112</v>
      </c>
      <c r="B75" s="23" t="s">
        <v>1113</v>
      </c>
      <c r="C75" s="24" t="s">
        <v>1114</v>
      </c>
      <c r="D75" s="25" t="s">
        <v>115</v>
      </c>
      <c r="E75" s="23" t="s">
        <v>1117</v>
      </c>
      <c r="F75" s="23">
        <v>139</v>
      </c>
      <c r="G75" s="23" t="s">
        <v>283</v>
      </c>
      <c r="H75" s="23" t="s">
        <v>1254</v>
      </c>
      <c r="I75" s="25" t="s">
        <v>120</v>
      </c>
      <c r="J75" s="23" t="s">
        <v>1118</v>
      </c>
      <c r="K75" s="23" t="s">
        <v>1376</v>
      </c>
      <c r="L75" s="23"/>
    </row>
    <row r="76" spans="1:12" ht="42.75" customHeight="1">
      <c r="A76" s="23" t="s">
        <v>1125</v>
      </c>
      <c r="B76" s="23" t="s">
        <v>1126</v>
      </c>
      <c r="C76" s="24" t="s">
        <v>1127</v>
      </c>
      <c r="D76" s="25" t="s">
        <v>115</v>
      </c>
      <c r="E76" s="23" t="s">
        <v>1130</v>
      </c>
      <c r="F76" s="23">
        <v>381</v>
      </c>
      <c r="G76" s="23" t="s">
        <v>349</v>
      </c>
      <c r="H76" s="23" t="s">
        <v>1254</v>
      </c>
      <c r="I76" s="25" t="s">
        <v>120</v>
      </c>
      <c r="J76" s="23" t="s">
        <v>1131</v>
      </c>
      <c r="K76" s="23" t="s">
        <v>1377</v>
      </c>
      <c r="L76" s="24" t="s">
        <v>1378</v>
      </c>
    </row>
    <row r="77" spans="1:12" ht="42.75" customHeight="1">
      <c r="A77" s="23" t="s">
        <v>1135</v>
      </c>
      <c r="B77" s="23" t="s">
        <v>1136</v>
      </c>
      <c r="C77" s="24" t="s">
        <v>1137</v>
      </c>
      <c r="D77" s="25" t="s">
        <v>115</v>
      </c>
      <c r="E77" s="23" t="s">
        <v>1140</v>
      </c>
      <c r="F77" s="23">
        <v>31</v>
      </c>
      <c r="G77" s="23" t="s">
        <v>283</v>
      </c>
      <c r="H77" s="23" t="s">
        <v>1254</v>
      </c>
      <c r="I77" s="25" t="s">
        <v>120</v>
      </c>
      <c r="J77" s="23" t="s">
        <v>1141</v>
      </c>
      <c r="K77" s="23" t="s">
        <v>1379</v>
      </c>
      <c r="L77" s="23"/>
    </row>
    <row r="78" spans="1:12" ht="28.5" customHeight="1">
      <c r="A78" s="23" t="s">
        <v>1146</v>
      </c>
      <c r="B78" s="23" t="s">
        <v>1147</v>
      </c>
      <c r="C78" s="24" t="s">
        <v>1148</v>
      </c>
      <c r="D78" s="25" t="s">
        <v>115</v>
      </c>
      <c r="E78" s="23" t="s">
        <v>1151</v>
      </c>
      <c r="F78" s="23">
        <v>4</v>
      </c>
      <c r="G78" s="23" t="s">
        <v>283</v>
      </c>
      <c r="H78" s="23" t="s">
        <v>1254</v>
      </c>
      <c r="I78" s="25" t="s">
        <v>120</v>
      </c>
      <c r="J78" s="23" t="s">
        <v>1152</v>
      </c>
      <c r="K78" s="23" t="s">
        <v>1380</v>
      </c>
      <c r="L78" s="23"/>
    </row>
    <row r="79" spans="1:12" ht="28.5" customHeight="1">
      <c r="A79" s="23" t="s">
        <v>1157</v>
      </c>
      <c r="B79" s="23" t="s">
        <v>1158</v>
      </c>
      <c r="C79" s="24" t="s">
        <v>1159</v>
      </c>
      <c r="D79" s="25" t="s">
        <v>115</v>
      </c>
      <c r="E79" s="23" t="s">
        <v>1162</v>
      </c>
      <c r="F79" s="23">
        <v>176</v>
      </c>
      <c r="G79" s="23" t="s">
        <v>283</v>
      </c>
      <c r="H79" s="23" t="s">
        <v>1262</v>
      </c>
      <c r="I79" s="25" t="s">
        <v>120</v>
      </c>
      <c r="J79" s="23" t="s">
        <v>1163</v>
      </c>
      <c r="K79" s="23" t="s">
        <v>1381</v>
      </c>
      <c r="L79" s="23"/>
    </row>
    <row r="80" spans="1:12" ht="42.75" customHeight="1">
      <c r="A80" s="23" t="s">
        <v>1169</v>
      </c>
      <c r="B80" s="23" t="s">
        <v>1170</v>
      </c>
      <c r="C80" s="24" t="s">
        <v>1171</v>
      </c>
      <c r="D80" s="25" t="s">
        <v>115</v>
      </c>
      <c r="E80" s="23" t="s">
        <v>1174</v>
      </c>
      <c r="F80" s="23">
        <v>16</v>
      </c>
      <c r="G80" s="23" t="s">
        <v>349</v>
      </c>
      <c r="H80" s="23" t="s">
        <v>1254</v>
      </c>
      <c r="I80" s="25" t="s">
        <v>120</v>
      </c>
      <c r="J80" s="23" t="s">
        <v>1175</v>
      </c>
      <c r="K80" s="23" t="s">
        <v>1382</v>
      </c>
      <c r="L80" s="24" t="s">
        <v>1383</v>
      </c>
    </row>
    <row r="81" spans="1:12" ht="42.75" customHeight="1">
      <c r="A81" s="23" t="s">
        <v>1180</v>
      </c>
      <c r="B81" s="23" t="s">
        <v>1181</v>
      </c>
      <c r="C81" s="24" t="s">
        <v>1182</v>
      </c>
      <c r="D81" s="25" t="s">
        <v>115</v>
      </c>
      <c r="E81" s="23" t="s">
        <v>1185</v>
      </c>
      <c r="F81" s="23">
        <v>100</v>
      </c>
      <c r="G81" s="23" t="s">
        <v>445</v>
      </c>
      <c r="H81" s="23" t="s">
        <v>1262</v>
      </c>
      <c r="I81" s="25" t="s">
        <v>120</v>
      </c>
      <c r="J81" s="23" t="s">
        <v>1186</v>
      </c>
      <c r="K81" s="23" t="s">
        <v>1384</v>
      </c>
      <c r="L81" s="23" t="s">
        <v>1385</v>
      </c>
    </row>
    <row r="82" spans="1:12" ht="28.5" customHeight="1">
      <c r="A82" s="23" t="s">
        <v>1192</v>
      </c>
      <c r="B82" s="23" t="s">
        <v>1193</v>
      </c>
      <c r="C82" s="24" t="s">
        <v>1194</v>
      </c>
      <c r="D82" s="25" t="s">
        <v>115</v>
      </c>
      <c r="E82" s="23" t="s">
        <v>1197</v>
      </c>
      <c r="F82" s="23">
        <v>36</v>
      </c>
      <c r="G82" s="23" t="s">
        <v>678</v>
      </c>
      <c r="H82" s="23" t="s">
        <v>1254</v>
      </c>
      <c r="I82" s="25" t="s">
        <v>120</v>
      </c>
      <c r="J82" s="23" t="s">
        <v>1198</v>
      </c>
      <c r="K82" s="23" t="s">
        <v>1386</v>
      </c>
      <c r="L82" s="23"/>
    </row>
    <row r="83" spans="1:12" ht="28.5" customHeight="1">
      <c r="A83" s="23" t="s">
        <v>1202</v>
      </c>
      <c r="B83" s="23" t="s">
        <v>1203</v>
      </c>
      <c r="C83" s="24" t="s">
        <v>1204</v>
      </c>
      <c r="D83" s="25" t="s">
        <v>115</v>
      </c>
      <c r="E83" s="23" t="s">
        <v>1211</v>
      </c>
      <c r="F83" s="23">
        <v>1962</v>
      </c>
      <c r="G83" s="23" t="s">
        <v>189</v>
      </c>
      <c r="H83" s="23" t="s">
        <v>1254</v>
      </c>
      <c r="I83" s="25" t="s">
        <v>120</v>
      </c>
      <c r="J83" s="23" t="s">
        <v>1212</v>
      </c>
      <c r="K83" s="23" t="s">
        <v>1387</v>
      </c>
      <c r="L83" s="23" t="s">
        <v>1267</v>
      </c>
    </row>
    <row r="84" spans="1:12" ht="42.75" customHeight="1">
      <c r="A84" s="23" t="s">
        <v>1218</v>
      </c>
      <c r="B84" s="23" t="s">
        <v>1219</v>
      </c>
      <c r="C84" s="24" t="s">
        <v>1220</v>
      </c>
      <c r="D84" s="25" t="s">
        <v>115</v>
      </c>
      <c r="E84" s="23" t="s">
        <v>1211</v>
      </c>
      <c r="F84" s="23">
        <v>153</v>
      </c>
      <c r="G84" s="23" t="s">
        <v>1224</v>
      </c>
      <c r="H84" s="23" t="s">
        <v>1254</v>
      </c>
      <c r="I84" s="25" t="s">
        <v>120</v>
      </c>
      <c r="J84" s="23" t="s">
        <v>1225</v>
      </c>
      <c r="K84" s="23" t="s">
        <v>1388</v>
      </c>
      <c r="L84" s="23" t="s">
        <v>1389</v>
      </c>
    </row>
    <row r="85" spans="1:12" ht="28.5" customHeight="1">
      <c r="A85" s="23" t="s">
        <v>1230</v>
      </c>
      <c r="B85" s="23" t="s">
        <v>1231</v>
      </c>
      <c r="C85" s="24" t="s">
        <v>1232</v>
      </c>
      <c r="D85" s="25" t="s">
        <v>115</v>
      </c>
      <c r="E85" s="23" t="s">
        <v>474</v>
      </c>
      <c r="F85" s="23">
        <v>841</v>
      </c>
      <c r="G85" s="23" t="s">
        <v>316</v>
      </c>
      <c r="H85" s="23" t="s">
        <v>1262</v>
      </c>
      <c r="I85" s="25" t="s">
        <v>120</v>
      </c>
      <c r="J85" s="23" t="s">
        <v>1238</v>
      </c>
      <c r="K85" s="23" t="s">
        <v>1390</v>
      </c>
      <c r="L85" s="23"/>
    </row>
  </sheetData>
  <autoFilter ref="A1:L85" xr:uid="{00000000-0009-0000-0000-000002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4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640625" defaultRowHeight="14.25"/>
  <cols>
    <col min="1" max="3" width="14" customWidth="1"/>
    <col min="4" max="4" width="40" customWidth="1"/>
    <col min="5" max="11" width="14" customWidth="1"/>
    <col min="12" max="12" width="42" customWidth="1"/>
    <col min="13" max="15" width="14" customWidth="1"/>
  </cols>
  <sheetData>
    <row r="1" spans="1:15" ht="36" customHeight="1">
      <c r="A1" s="15" t="s">
        <v>67</v>
      </c>
      <c r="B1" s="15" t="s">
        <v>68</v>
      </c>
      <c r="C1" s="15" t="s">
        <v>69</v>
      </c>
      <c r="D1" s="15" t="s">
        <v>1391</v>
      </c>
      <c r="E1" s="15" t="s">
        <v>1392</v>
      </c>
      <c r="F1" s="15" t="s">
        <v>1245</v>
      </c>
      <c r="G1" s="15" t="s">
        <v>76</v>
      </c>
      <c r="H1" s="15" t="s">
        <v>1246</v>
      </c>
      <c r="I1" s="15" t="s">
        <v>77</v>
      </c>
      <c r="J1" s="15" t="s">
        <v>1247</v>
      </c>
      <c r="K1" s="15" t="s">
        <v>1393</v>
      </c>
      <c r="L1" s="16" t="s">
        <v>78</v>
      </c>
      <c r="M1" s="15" t="s">
        <v>1394</v>
      </c>
      <c r="N1" s="15" t="s">
        <v>81</v>
      </c>
      <c r="O1" s="15" t="s">
        <v>1395</v>
      </c>
    </row>
    <row r="2" spans="1:15" ht="85.5" customHeight="1">
      <c r="A2" s="23" t="s">
        <v>112</v>
      </c>
      <c r="B2" s="23" t="s">
        <v>113</v>
      </c>
      <c r="C2" s="24" t="s">
        <v>114</v>
      </c>
      <c r="D2" s="23" t="s">
        <v>1396</v>
      </c>
      <c r="E2" s="23" t="s">
        <v>1397</v>
      </c>
      <c r="F2" s="23">
        <v>431</v>
      </c>
      <c r="G2" s="23" t="s">
        <v>131</v>
      </c>
      <c r="H2" s="23" t="s">
        <v>1248</v>
      </c>
      <c r="I2" s="25" t="s">
        <v>120</v>
      </c>
      <c r="J2" s="23" t="s">
        <v>1249</v>
      </c>
      <c r="K2" s="23" t="s">
        <v>1398</v>
      </c>
      <c r="L2" s="23" t="s">
        <v>121</v>
      </c>
      <c r="M2" s="23" t="s">
        <v>1399</v>
      </c>
      <c r="N2" s="24" t="s">
        <v>1250</v>
      </c>
      <c r="O2" s="25" t="s">
        <v>1400</v>
      </c>
    </row>
    <row r="3" spans="1:15" ht="57" customHeight="1">
      <c r="A3" s="23" t="s">
        <v>142</v>
      </c>
      <c r="B3" s="23" t="s">
        <v>143</v>
      </c>
      <c r="C3" s="24" t="s">
        <v>144</v>
      </c>
      <c r="D3" s="23" t="s">
        <v>1401</v>
      </c>
      <c r="E3" s="24" t="s">
        <v>1402</v>
      </c>
      <c r="F3" s="23">
        <v>4863</v>
      </c>
      <c r="G3" s="23" t="s">
        <v>157</v>
      </c>
      <c r="H3" s="23" t="s">
        <v>1251</v>
      </c>
      <c r="I3" s="25" t="s">
        <v>120</v>
      </c>
      <c r="J3" s="23" t="s">
        <v>1252</v>
      </c>
      <c r="K3" s="23" t="s">
        <v>1403</v>
      </c>
      <c r="L3" s="23" t="s">
        <v>158</v>
      </c>
      <c r="M3" s="24" t="s">
        <v>1404</v>
      </c>
      <c r="N3" s="24" t="s">
        <v>1253</v>
      </c>
      <c r="O3" s="25" t="s">
        <v>1400</v>
      </c>
    </row>
    <row r="4" spans="1:15" ht="57" customHeight="1">
      <c r="A4" s="23" t="s">
        <v>142</v>
      </c>
      <c r="B4" s="23" t="s">
        <v>143</v>
      </c>
      <c r="C4" s="24" t="s">
        <v>144</v>
      </c>
      <c r="D4" s="23" t="s">
        <v>1405</v>
      </c>
      <c r="E4" s="24" t="s">
        <v>1406</v>
      </c>
      <c r="F4" s="23">
        <v>31</v>
      </c>
      <c r="G4" s="23" t="s">
        <v>148</v>
      </c>
      <c r="H4" s="23" t="s">
        <v>1254</v>
      </c>
      <c r="I4" s="27" t="s">
        <v>149</v>
      </c>
      <c r="J4" s="24" t="s">
        <v>1407</v>
      </c>
      <c r="K4" s="24" t="s">
        <v>1408</v>
      </c>
      <c r="L4" s="23" t="s">
        <v>1409</v>
      </c>
      <c r="M4" s="24" t="s">
        <v>1410</v>
      </c>
      <c r="N4" s="23" t="s">
        <v>1411</v>
      </c>
      <c r="O4" s="23" t="s">
        <v>1412</v>
      </c>
    </row>
    <row r="5" spans="1:15" ht="57" customHeight="1">
      <c r="A5" s="23" t="s">
        <v>165</v>
      </c>
      <c r="B5" s="23" t="s">
        <v>166</v>
      </c>
      <c r="C5" s="24" t="s">
        <v>167</v>
      </c>
      <c r="D5" s="23" t="s">
        <v>1413</v>
      </c>
      <c r="E5" s="24" t="s">
        <v>1414</v>
      </c>
      <c r="F5" s="23">
        <v>145</v>
      </c>
      <c r="G5" s="23" t="s">
        <v>175</v>
      </c>
      <c r="H5" s="23" t="s">
        <v>1254</v>
      </c>
      <c r="I5" s="25" t="s">
        <v>120</v>
      </c>
      <c r="J5" s="23" t="s">
        <v>1255</v>
      </c>
      <c r="K5" s="23" t="s">
        <v>1415</v>
      </c>
      <c r="L5" s="23" t="s">
        <v>176</v>
      </c>
      <c r="M5" s="23" t="s">
        <v>1416</v>
      </c>
      <c r="N5" s="23" t="s">
        <v>1256</v>
      </c>
      <c r="O5" s="25" t="s">
        <v>1400</v>
      </c>
    </row>
    <row r="6" spans="1:15" ht="71.25" customHeight="1">
      <c r="A6" s="23" t="s">
        <v>165</v>
      </c>
      <c r="B6" s="23" t="s">
        <v>166</v>
      </c>
      <c r="C6" s="24" t="s">
        <v>167</v>
      </c>
      <c r="D6" s="23" t="s">
        <v>1417</v>
      </c>
      <c r="E6" s="23" t="s">
        <v>1418</v>
      </c>
      <c r="F6" s="23">
        <v>95</v>
      </c>
      <c r="G6" s="23" t="s">
        <v>316</v>
      </c>
      <c r="H6" s="23" t="s">
        <v>1254</v>
      </c>
      <c r="I6" s="25" t="s">
        <v>120</v>
      </c>
      <c r="J6" s="23" t="s">
        <v>1255</v>
      </c>
      <c r="K6" s="23" t="s">
        <v>1419</v>
      </c>
      <c r="L6" s="23" t="s">
        <v>1420</v>
      </c>
      <c r="M6" s="23" t="s">
        <v>1421</v>
      </c>
      <c r="N6" s="23"/>
      <c r="O6" s="23" t="s">
        <v>1412</v>
      </c>
    </row>
    <row r="7" spans="1:15" ht="57" customHeight="1">
      <c r="A7" s="23" t="s">
        <v>183</v>
      </c>
      <c r="B7" s="23" t="s">
        <v>184</v>
      </c>
      <c r="C7" s="24" t="s">
        <v>185</v>
      </c>
      <c r="D7" s="23" t="s">
        <v>1422</v>
      </c>
      <c r="E7" s="23" t="s">
        <v>1423</v>
      </c>
      <c r="F7" s="23">
        <v>73</v>
      </c>
      <c r="G7" s="23" t="s">
        <v>193</v>
      </c>
      <c r="H7" s="23" t="s">
        <v>1257</v>
      </c>
      <c r="I7" s="25" t="s">
        <v>120</v>
      </c>
      <c r="J7" s="23" t="s">
        <v>1258</v>
      </c>
      <c r="K7" s="23" t="s">
        <v>1424</v>
      </c>
      <c r="L7" s="23" t="s">
        <v>194</v>
      </c>
      <c r="M7" s="23" t="s">
        <v>1425</v>
      </c>
      <c r="N7" s="23" t="s">
        <v>1259</v>
      </c>
      <c r="O7" s="25" t="s">
        <v>1400</v>
      </c>
    </row>
    <row r="8" spans="1:15" ht="57" customHeight="1">
      <c r="A8" s="23" t="s">
        <v>199</v>
      </c>
      <c r="B8" s="23" t="s">
        <v>200</v>
      </c>
      <c r="C8" s="24" t="s">
        <v>201</v>
      </c>
      <c r="D8" s="23" t="s">
        <v>1426</v>
      </c>
      <c r="E8" s="24" t="s">
        <v>1427</v>
      </c>
      <c r="F8" s="23">
        <v>6</v>
      </c>
      <c r="G8" s="23" t="s">
        <v>208</v>
      </c>
      <c r="H8" s="23" t="s">
        <v>1254</v>
      </c>
      <c r="I8" s="25" t="s">
        <v>120</v>
      </c>
      <c r="J8" s="23" t="s">
        <v>1260</v>
      </c>
      <c r="K8" s="23" t="s">
        <v>1428</v>
      </c>
      <c r="L8" s="23" t="s">
        <v>209</v>
      </c>
      <c r="M8" s="23" t="s">
        <v>1429</v>
      </c>
      <c r="N8" s="24" t="s">
        <v>1261</v>
      </c>
      <c r="O8" s="25" t="s">
        <v>1400</v>
      </c>
    </row>
    <row r="9" spans="1:15" ht="57" customHeight="1">
      <c r="A9" s="23" t="s">
        <v>217</v>
      </c>
      <c r="B9" s="23" t="s">
        <v>55</v>
      </c>
      <c r="C9" s="24" t="s">
        <v>218</v>
      </c>
      <c r="D9" s="23" t="s">
        <v>225</v>
      </c>
      <c r="E9" s="23" t="s">
        <v>1430</v>
      </c>
      <c r="F9" s="23">
        <v>2748</v>
      </c>
      <c r="G9" s="23" t="s">
        <v>226</v>
      </c>
      <c r="H9" s="23" t="s">
        <v>1262</v>
      </c>
      <c r="I9" s="25" t="s">
        <v>120</v>
      </c>
      <c r="J9" s="23" t="s">
        <v>1263</v>
      </c>
      <c r="K9" s="23" t="s">
        <v>1431</v>
      </c>
      <c r="L9" s="23" t="s">
        <v>227</v>
      </c>
      <c r="M9" s="23" t="s">
        <v>1432</v>
      </c>
      <c r="N9" s="24" t="s">
        <v>1264</v>
      </c>
      <c r="O9" s="25" t="s">
        <v>1400</v>
      </c>
    </row>
    <row r="10" spans="1:15" ht="42.75" customHeight="1">
      <c r="A10" s="23" t="s">
        <v>232</v>
      </c>
      <c r="B10" s="23" t="s">
        <v>233</v>
      </c>
      <c r="C10" s="24" t="s">
        <v>234</v>
      </c>
      <c r="D10" s="23" t="s">
        <v>1433</v>
      </c>
      <c r="E10" s="24" t="s">
        <v>1434</v>
      </c>
      <c r="F10" s="23">
        <v>16</v>
      </c>
      <c r="G10" s="23" t="s">
        <v>242</v>
      </c>
      <c r="H10" s="23" t="s">
        <v>1254</v>
      </c>
      <c r="I10" s="25" t="s">
        <v>120</v>
      </c>
      <c r="J10" s="23" t="s">
        <v>1265</v>
      </c>
      <c r="K10" s="23" t="s">
        <v>1435</v>
      </c>
      <c r="L10" s="23" t="s">
        <v>243</v>
      </c>
      <c r="M10" s="23" t="s">
        <v>1436</v>
      </c>
      <c r="N10" s="23"/>
      <c r="O10" s="25" t="s">
        <v>1400</v>
      </c>
    </row>
    <row r="11" spans="1:15" ht="57" customHeight="1">
      <c r="A11" s="23" t="s">
        <v>251</v>
      </c>
      <c r="B11" s="23" t="s">
        <v>252</v>
      </c>
      <c r="C11" s="24" t="s">
        <v>253</v>
      </c>
      <c r="D11" s="23" t="s">
        <v>1437</v>
      </c>
      <c r="E11" s="24" t="s">
        <v>1438</v>
      </c>
      <c r="F11" s="23">
        <v>1475</v>
      </c>
      <c r="G11" s="23" t="s">
        <v>175</v>
      </c>
      <c r="H11" s="23" t="s">
        <v>1262</v>
      </c>
      <c r="I11" s="25" t="s">
        <v>120</v>
      </c>
      <c r="J11" s="23" t="s">
        <v>1266</v>
      </c>
      <c r="K11" s="24" t="s">
        <v>1439</v>
      </c>
      <c r="L11" s="23" t="s">
        <v>267</v>
      </c>
      <c r="M11" s="24" t="s">
        <v>1440</v>
      </c>
      <c r="N11" s="23" t="s">
        <v>1267</v>
      </c>
      <c r="O11" s="25" t="s">
        <v>1400</v>
      </c>
    </row>
    <row r="12" spans="1:15" ht="57" customHeight="1">
      <c r="A12" s="23" t="s">
        <v>274</v>
      </c>
      <c r="B12" s="23" t="s">
        <v>275</v>
      </c>
      <c r="C12" s="24" t="s">
        <v>276</v>
      </c>
      <c r="D12" s="23" t="s">
        <v>1441</v>
      </c>
      <c r="E12" s="24" t="s">
        <v>1442</v>
      </c>
      <c r="F12" s="23">
        <v>8</v>
      </c>
      <c r="G12" s="23" t="s">
        <v>283</v>
      </c>
      <c r="H12" s="23" t="s">
        <v>1443</v>
      </c>
      <c r="I12" s="25" t="s">
        <v>120</v>
      </c>
      <c r="J12" s="23" t="s">
        <v>1444</v>
      </c>
      <c r="K12" s="23" t="s">
        <v>1445</v>
      </c>
      <c r="L12" s="23" t="s">
        <v>1446</v>
      </c>
      <c r="M12" s="24" t="s">
        <v>1447</v>
      </c>
      <c r="N12" s="23"/>
      <c r="O12" s="23" t="s">
        <v>1412</v>
      </c>
    </row>
    <row r="13" spans="1:15" ht="114" customHeight="1">
      <c r="A13" s="23" t="s">
        <v>274</v>
      </c>
      <c r="B13" s="23" t="s">
        <v>275</v>
      </c>
      <c r="C13" s="24" t="s">
        <v>276</v>
      </c>
      <c r="D13" s="23" t="s">
        <v>282</v>
      </c>
      <c r="E13" s="24" t="s">
        <v>1448</v>
      </c>
      <c r="F13" s="23">
        <v>183</v>
      </c>
      <c r="G13" s="23" t="s">
        <v>283</v>
      </c>
      <c r="H13" s="23" t="s">
        <v>1251</v>
      </c>
      <c r="I13" s="27" t="s">
        <v>149</v>
      </c>
      <c r="J13" s="23" t="s">
        <v>1268</v>
      </c>
      <c r="K13" s="23" t="s">
        <v>1449</v>
      </c>
      <c r="L13" s="23" t="s">
        <v>284</v>
      </c>
      <c r="M13" s="24" t="s">
        <v>1450</v>
      </c>
      <c r="N13" s="23" t="s">
        <v>1269</v>
      </c>
      <c r="O13" s="25" t="s">
        <v>1400</v>
      </c>
    </row>
    <row r="14" spans="1:15" ht="85.5" customHeight="1">
      <c r="A14" s="23" t="s">
        <v>292</v>
      </c>
      <c r="B14" s="23" t="s">
        <v>57</v>
      </c>
      <c r="C14" s="24" t="s">
        <v>293</v>
      </c>
      <c r="D14" s="23" t="s">
        <v>1451</v>
      </c>
      <c r="E14" s="24" t="s">
        <v>1452</v>
      </c>
      <c r="F14" s="23">
        <v>8</v>
      </c>
      <c r="G14" s="23" t="s">
        <v>222</v>
      </c>
      <c r="H14" s="23" t="s">
        <v>1254</v>
      </c>
      <c r="I14" s="25" t="s">
        <v>120</v>
      </c>
      <c r="J14" s="23" t="s">
        <v>1270</v>
      </c>
      <c r="K14" s="24" t="s">
        <v>1453</v>
      </c>
      <c r="L14" s="23" t="s">
        <v>303</v>
      </c>
      <c r="M14" s="23" t="s">
        <v>1454</v>
      </c>
      <c r="N14" s="24" t="s">
        <v>1271</v>
      </c>
      <c r="O14" s="25" t="s">
        <v>1400</v>
      </c>
    </row>
    <row r="15" spans="1:15" ht="42.75" customHeight="1">
      <c r="A15" s="23" t="s">
        <v>310</v>
      </c>
      <c r="B15" s="23" t="s">
        <v>311</v>
      </c>
      <c r="C15" s="24" t="s">
        <v>312</v>
      </c>
      <c r="D15" s="23" t="s">
        <v>1455</v>
      </c>
      <c r="E15" s="23" t="s">
        <v>1456</v>
      </c>
      <c r="F15" s="23">
        <v>724</v>
      </c>
      <c r="G15" s="23" t="s">
        <v>163</v>
      </c>
      <c r="H15" s="23" t="s">
        <v>1254</v>
      </c>
      <c r="I15" s="25" t="s">
        <v>120</v>
      </c>
      <c r="J15" s="23" t="s">
        <v>1272</v>
      </c>
      <c r="K15" s="23" t="s">
        <v>1457</v>
      </c>
      <c r="L15" s="23" t="s">
        <v>319</v>
      </c>
      <c r="M15" s="23" t="s">
        <v>1458</v>
      </c>
      <c r="N15" s="23"/>
      <c r="O15" s="25" t="s">
        <v>1400</v>
      </c>
    </row>
    <row r="16" spans="1:15" ht="57" customHeight="1">
      <c r="A16" s="23" t="s">
        <v>310</v>
      </c>
      <c r="B16" s="23" t="s">
        <v>311</v>
      </c>
      <c r="C16" s="24" t="s">
        <v>312</v>
      </c>
      <c r="D16" s="23" t="s">
        <v>1459</v>
      </c>
      <c r="E16" s="24" t="s">
        <v>1460</v>
      </c>
      <c r="F16" s="23">
        <v>35</v>
      </c>
      <c r="G16" s="23" t="s">
        <v>208</v>
      </c>
      <c r="H16" s="23" t="s">
        <v>1257</v>
      </c>
      <c r="I16" s="25" t="s">
        <v>120</v>
      </c>
      <c r="J16" s="23" t="s">
        <v>1461</v>
      </c>
      <c r="K16" s="23" t="s">
        <v>1462</v>
      </c>
      <c r="L16" s="23" t="s">
        <v>1463</v>
      </c>
      <c r="M16" s="23" t="s">
        <v>1464</v>
      </c>
      <c r="N16" s="23"/>
      <c r="O16" s="23" t="s">
        <v>1412</v>
      </c>
    </row>
    <row r="17" spans="1:15" ht="57" customHeight="1">
      <c r="A17" s="23" t="s">
        <v>324</v>
      </c>
      <c r="B17" s="23" t="s">
        <v>325</v>
      </c>
      <c r="C17" s="24" t="s">
        <v>326</v>
      </c>
      <c r="D17" s="23" t="s">
        <v>1465</v>
      </c>
      <c r="E17" s="24" t="s">
        <v>1466</v>
      </c>
      <c r="F17" s="23">
        <v>116</v>
      </c>
      <c r="G17" s="23" t="s">
        <v>283</v>
      </c>
      <c r="H17" s="23" t="s">
        <v>1254</v>
      </c>
      <c r="I17" s="27" t="s">
        <v>149</v>
      </c>
      <c r="J17" s="23" t="s">
        <v>1273</v>
      </c>
      <c r="K17" s="23" t="s">
        <v>1467</v>
      </c>
      <c r="L17" s="23" t="s">
        <v>334</v>
      </c>
      <c r="M17" s="23" t="s">
        <v>1468</v>
      </c>
      <c r="N17" s="23" t="s">
        <v>1274</v>
      </c>
      <c r="O17" s="25" t="s">
        <v>1400</v>
      </c>
    </row>
    <row r="18" spans="1:15" ht="42.75" customHeight="1">
      <c r="A18" s="23" t="s">
        <v>340</v>
      </c>
      <c r="B18" s="23" t="s">
        <v>341</v>
      </c>
      <c r="C18" s="24" t="s">
        <v>342</v>
      </c>
      <c r="D18" s="23" t="s">
        <v>1469</v>
      </c>
      <c r="E18" s="24" t="s">
        <v>1470</v>
      </c>
      <c r="F18" s="23">
        <v>31</v>
      </c>
      <c r="G18" s="23" t="s">
        <v>349</v>
      </c>
      <c r="H18" s="23" t="s">
        <v>1254</v>
      </c>
      <c r="I18" s="25" t="s">
        <v>120</v>
      </c>
      <c r="J18" s="23" t="s">
        <v>1275</v>
      </c>
      <c r="K18" s="23" t="s">
        <v>1471</v>
      </c>
      <c r="L18" s="23" t="s">
        <v>350</v>
      </c>
      <c r="M18" s="23" t="s">
        <v>1472</v>
      </c>
      <c r="N18" s="23"/>
      <c r="O18" s="25" t="s">
        <v>1400</v>
      </c>
    </row>
    <row r="19" spans="1:15" ht="42.75" customHeight="1">
      <c r="A19" s="23" t="s">
        <v>1202</v>
      </c>
      <c r="B19" s="23" t="s">
        <v>1203</v>
      </c>
      <c r="C19" s="24" t="s">
        <v>1204</v>
      </c>
      <c r="D19" s="23" t="s">
        <v>1473</v>
      </c>
      <c r="E19" s="24" t="s">
        <v>1474</v>
      </c>
      <c r="F19" s="23">
        <v>1962</v>
      </c>
      <c r="G19" s="23" t="s">
        <v>189</v>
      </c>
      <c r="H19" s="23" t="s">
        <v>1254</v>
      </c>
      <c r="I19" s="25" t="s">
        <v>120</v>
      </c>
      <c r="J19" s="23" t="s">
        <v>1387</v>
      </c>
      <c r="K19" s="23" t="s">
        <v>1475</v>
      </c>
      <c r="L19" s="23" t="s">
        <v>1212</v>
      </c>
      <c r="M19" s="23" t="s">
        <v>1476</v>
      </c>
      <c r="N19" s="23" t="s">
        <v>1267</v>
      </c>
      <c r="O19" s="25" t="s">
        <v>1400</v>
      </c>
    </row>
    <row r="20" spans="1:15" ht="57" customHeight="1">
      <c r="A20" s="23" t="s">
        <v>1218</v>
      </c>
      <c r="B20" s="23" t="s">
        <v>1219</v>
      </c>
      <c r="C20" s="24" t="s">
        <v>1220</v>
      </c>
      <c r="D20" s="23" t="s">
        <v>1477</v>
      </c>
      <c r="E20" s="24" t="s">
        <v>1474</v>
      </c>
      <c r="F20" s="23">
        <v>153</v>
      </c>
      <c r="G20" s="23" t="s">
        <v>1224</v>
      </c>
      <c r="H20" s="23" t="s">
        <v>1254</v>
      </c>
      <c r="I20" s="25" t="s">
        <v>120</v>
      </c>
      <c r="J20" s="23" t="s">
        <v>1388</v>
      </c>
      <c r="K20" s="23" t="s">
        <v>1478</v>
      </c>
      <c r="L20" s="23" t="s">
        <v>1225</v>
      </c>
      <c r="M20" s="23" t="s">
        <v>1479</v>
      </c>
      <c r="N20" s="23" t="s">
        <v>1389</v>
      </c>
      <c r="O20" s="25" t="s">
        <v>1400</v>
      </c>
    </row>
    <row r="21" spans="1:15" ht="42.75" customHeight="1">
      <c r="A21" s="23" t="s">
        <v>452</v>
      </c>
      <c r="B21" s="23" t="s">
        <v>453</v>
      </c>
      <c r="C21" s="24" t="s">
        <v>454</v>
      </c>
      <c r="D21" s="23" t="s">
        <v>1480</v>
      </c>
      <c r="E21" s="24" t="s">
        <v>1481</v>
      </c>
      <c r="F21" s="23">
        <v>577</v>
      </c>
      <c r="G21" s="23" t="s">
        <v>288</v>
      </c>
      <c r="H21" s="23" t="s">
        <v>1254</v>
      </c>
      <c r="I21" s="25" t="s">
        <v>120</v>
      </c>
      <c r="J21" s="23" t="s">
        <v>1289</v>
      </c>
      <c r="K21" s="23" t="s">
        <v>1482</v>
      </c>
      <c r="L21" s="23" t="s">
        <v>459</v>
      </c>
      <c r="M21" s="23" t="s">
        <v>1483</v>
      </c>
      <c r="N21" s="23"/>
      <c r="O21" s="25" t="s">
        <v>1400</v>
      </c>
    </row>
    <row r="22" spans="1:15" ht="71.25" customHeight="1">
      <c r="A22" s="23" t="s">
        <v>465</v>
      </c>
      <c r="B22" s="23" t="s">
        <v>466</v>
      </c>
      <c r="C22" s="24" t="s">
        <v>467</v>
      </c>
      <c r="D22" s="23" t="s">
        <v>1484</v>
      </c>
      <c r="E22" s="24" t="s">
        <v>1485</v>
      </c>
      <c r="F22" s="23">
        <v>215</v>
      </c>
      <c r="G22" s="23" t="s">
        <v>475</v>
      </c>
      <c r="H22" s="23" t="s">
        <v>1257</v>
      </c>
      <c r="I22" s="25" t="s">
        <v>120</v>
      </c>
      <c r="J22" s="23" t="s">
        <v>1290</v>
      </c>
      <c r="K22" s="23" t="s">
        <v>1486</v>
      </c>
      <c r="L22" s="23" t="s">
        <v>476</v>
      </c>
      <c r="M22" s="23" t="s">
        <v>1487</v>
      </c>
      <c r="N22" s="24" t="s">
        <v>1291</v>
      </c>
      <c r="O22" s="25" t="s">
        <v>1400</v>
      </c>
    </row>
    <row r="23" spans="1:15" ht="57" customHeight="1">
      <c r="A23" s="23" t="s">
        <v>482</v>
      </c>
      <c r="B23" s="23" t="s">
        <v>483</v>
      </c>
      <c r="C23" s="24" t="s">
        <v>484</v>
      </c>
      <c r="D23" s="23" t="s">
        <v>1488</v>
      </c>
      <c r="E23" s="24" t="s">
        <v>1485</v>
      </c>
      <c r="F23" s="23">
        <v>132</v>
      </c>
      <c r="G23" s="23" t="s">
        <v>488</v>
      </c>
      <c r="H23" s="23" t="s">
        <v>1251</v>
      </c>
      <c r="I23" s="25" t="s">
        <v>120</v>
      </c>
      <c r="J23" s="23" t="s">
        <v>1292</v>
      </c>
      <c r="K23" s="23" t="s">
        <v>1489</v>
      </c>
      <c r="L23" s="23" t="s">
        <v>490</v>
      </c>
      <c r="M23" s="23" t="s">
        <v>1490</v>
      </c>
      <c r="N23" s="23"/>
      <c r="O23" s="25" t="s">
        <v>1400</v>
      </c>
    </row>
    <row r="24" spans="1:15" ht="42.75" customHeight="1">
      <c r="A24" s="23" t="s">
        <v>496</v>
      </c>
      <c r="B24" s="23" t="s">
        <v>497</v>
      </c>
      <c r="C24" s="24" t="s">
        <v>498</v>
      </c>
      <c r="D24" s="23" t="s">
        <v>474</v>
      </c>
      <c r="E24" s="24" t="s">
        <v>1485</v>
      </c>
      <c r="F24" s="23">
        <v>106</v>
      </c>
      <c r="G24" s="23" t="s">
        <v>365</v>
      </c>
      <c r="H24" s="23" t="s">
        <v>1257</v>
      </c>
      <c r="I24" s="25" t="s">
        <v>120</v>
      </c>
      <c r="J24" s="23" t="s">
        <v>1293</v>
      </c>
      <c r="K24" s="23" t="s">
        <v>1491</v>
      </c>
      <c r="L24" s="23" t="s">
        <v>504</v>
      </c>
      <c r="M24" s="23" t="s">
        <v>1492</v>
      </c>
      <c r="N24" s="23"/>
      <c r="O24" s="25" t="s">
        <v>1400</v>
      </c>
    </row>
    <row r="25" spans="1:15" ht="57" customHeight="1">
      <c r="A25" s="23" t="s">
        <v>509</v>
      </c>
      <c r="B25" s="23" t="s">
        <v>510</v>
      </c>
      <c r="C25" s="24" t="s">
        <v>511</v>
      </c>
      <c r="D25" s="23" t="s">
        <v>474</v>
      </c>
      <c r="E25" s="24" t="s">
        <v>1485</v>
      </c>
      <c r="F25" s="23">
        <v>51</v>
      </c>
      <c r="G25" s="23" t="s">
        <v>316</v>
      </c>
      <c r="H25" s="23" t="s">
        <v>1257</v>
      </c>
      <c r="I25" s="25" t="s">
        <v>120</v>
      </c>
      <c r="J25" s="23" t="s">
        <v>1294</v>
      </c>
      <c r="K25" s="23" t="s">
        <v>1493</v>
      </c>
      <c r="L25" s="23" t="s">
        <v>516</v>
      </c>
      <c r="M25" s="23" t="s">
        <v>1494</v>
      </c>
      <c r="N25" s="23"/>
      <c r="O25" s="25" t="s">
        <v>1400</v>
      </c>
    </row>
    <row r="26" spans="1:15" ht="57" customHeight="1">
      <c r="A26" s="23" t="s">
        <v>667</v>
      </c>
      <c r="B26" s="23" t="s">
        <v>668</v>
      </c>
      <c r="C26" s="24" t="s">
        <v>669</v>
      </c>
      <c r="D26" s="23" t="s">
        <v>677</v>
      </c>
      <c r="E26" s="23" t="s">
        <v>1495</v>
      </c>
      <c r="F26" s="23">
        <v>78</v>
      </c>
      <c r="G26" s="23" t="s">
        <v>678</v>
      </c>
      <c r="H26" s="23" t="s">
        <v>1254</v>
      </c>
      <c r="I26" s="27" t="s">
        <v>149</v>
      </c>
      <c r="J26" s="23" t="s">
        <v>1311</v>
      </c>
      <c r="K26" s="23" t="s">
        <v>1496</v>
      </c>
      <c r="L26" s="23" t="s">
        <v>679</v>
      </c>
      <c r="M26" s="23" t="s">
        <v>1497</v>
      </c>
      <c r="N26" s="24" t="s">
        <v>1312</v>
      </c>
      <c r="O26" s="25" t="s">
        <v>1400</v>
      </c>
    </row>
    <row r="27" spans="1:15" ht="57" customHeight="1">
      <c r="A27" s="23" t="s">
        <v>35</v>
      </c>
      <c r="B27" s="23" t="s">
        <v>684</v>
      </c>
      <c r="C27" s="24" t="s">
        <v>685</v>
      </c>
      <c r="D27" s="23" t="s">
        <v>692</v>
      </c>
      <c r="E27" s="24" t="s">
        <v>1498</v>
      </c>
      <c r="F27" s="23">
        <v>21</v>
      </c>
      <c r="G27" s="23" t="s">
        <v>189</v>
      </c>
      <c r="H27" s="23" t="s">
        <v>1254</v>
      </c>
      <c r="I27" s="25" t="s">
        <v>120</v>
      </c>
      <c r="J27" s="23" t="s">
        <v>1313</v>
      </c>
      <c r="K27" s="23" t="s">
        <v>1499</v>
      </c>
      <c r="L27" s="23" t="s">
        <v>693</v>
      </c>
      <c r="M27" s="23" t="s">
        <v>1500</v>
      </c>
      <c r="N27" s="24" t="s">
        <v>1314</v>
      </c>
      <c r="O27" s="25" t="s">
        <v>1400</v>
      </c>
    </row>
    <row r="28" spans="1:15" ht="57" customHeight="1">
      <c r="A28" s="23" t="s">
        <v>407</v>
      </c>
      <c r="B28" s="23" t="s">
        <v>408</v>
      </c>
      <c r="C28" s="24" t="s">
        <v>409</v>
      </c>
      <c r="D28" s="23" t="s">
        <v>416</v>
      </c>
      <c r="E28" s="23" t="s">
        <v>1501</v>
      </c>
      <c r="F28" s="23">
        <v>8147</v>
      </c>
      <c r="G28" s="23" t="s">
        <v>131</v>
      </c>
      <c r="H28" s="23" t="s">
        <v>1262</v>
      </c>
      <c r="I28" s="25" t="s">
        <v>120</v>
      </c>
      <c r="J28" s="23" t="s">
        <v>1283</v>
      </c>
      <c r="K28" s="23" t="s">
        <v>1502</v>
      </c>
      <c r="L28" s="23" t="s">
        <v>417</v>
      </c>
      <c r="M28" s="23" t="s">
        <v>1503</v>
      </c>
      <c r="N28" s="23" t="s">
        <v>1284</v>
      </c>
      <c r="O28" s="25" t="s">
        <v>1400</v>
      </c>
    </row>
    <row r="29" spans="1:15" ht="71.25" customHeight="1">
      <c r="A29" s="23" t="s">
        <v>389</v>
      </c>
      <c r="B29" s="23" t="s">
        <v>390</v>
      </c>
      <c r="C29" s="24" t="s">
        <v>391</v>
      </c>
      <c r="D29" s="23" t="s">
        <v>1504</v>
      </c>
      <c r="E29" s="24" t="s">
        <v>1505</v>
      </c>
      <c r="F29" s="23">
        <v>195</v>
      </c>
      <c r="G29" s="23" t="s">
        <v>400</v>
      </c>
      <c r="H29" s="23" t="s">
        <v>1254</v>
      </c>
      <c r="I29" s="25" t="s">
        <v>120</v>
      </c>
      <c r="J29" s="23" t="s">
        <v>1281</v>
      </c>
      <c r="K29" s="23" t="s">
        <v>1506</v>
      </c>
      <c r="L29" s="23" t="s">
        <v>401</v>
      </c>
      <c r="M29" s="23" t="s">
        <v>1507</v>
      </c>
      <c r="N29" s="23" t="s">
        <v>1282</v>
      </c>
      <c r="O29" s="25" t="s">
        <v>1400</v>
      </c>
    </row>
    <row r="30" spans="1:15" ht="71.25" customHeight="1">
      <c r="A30" s="23" t="s">
        <v>597</v>
      </c>
      <c r="B30" s="23" t="s">
        <v>598</v>
      </c>
      <c r="C30" s="24" t="s">
        <v>599</v>
      </c>
      <c r="D30" s="23" t="s">
        <v>605</v>
      </c>
      <c r="E30" s="23" t="s">
        <v>1508</v>
      </c>
      <c r="F30" s="23">
        <v>48</v>
      </c>
      <c r="G30" s="23" t="s">
        <v>148</v>
      </c>
      <c r="H30" s="23" t="s">
        <v>1254</v>
      </c>
      <c r="I30" s="27" t="s">
        <v>149</v>
      </c>
      <c r="J30" s="23" t="s">
        <v>1303</v>
      </c>
      <c r="K30" s="23" t="s">
        <v>1509</v>
      </c>
      <c r="L30" s="23" t="s">
        <v>1302</v>
      </c>
      <c r="M30" s="23" t="s">
        <v>1510</v>
      </c>
      <c r="N30" s="24" t="s">
        <v>1511</v>
      </c>
      <c r="O30" s="25" t="s">
        <v>1400</v>
      </c>
    </row>
    <row r="31" spans="1:15" ht="85.5" customHeight="1">
      <c r="A31" s="23" t="s">
        <v>611</v>
      </c>
      <c r="B31" s="23" t="s">
        <v>612</v>
      </c>
      <c r="C31" s="24" t="s">
        <v>613</v>
      </c>
      <c r="D31" s="23" t="s">
        <v>1512</v>
      </c>
      <c r="E31" s="24" t="s">
        <v>1414</v>
      </c>
      <c r="F31" s="23">
        <v>30</v>
      </c>
      <c r="G31" s="23" t="s">
        <v>283</v>
      </c>
      <c r="H31" s="23" t="s">
        <v>1254</v>
      </c>
      <c r="I31" s="25" t="s">
        <v>120</v>
      </c>
      <c r="J31" s="23" t="s">
        <v>1305</v>
      </c>
      <c r="K31" s="23" t="s">
        <v>1513</v>
      </c>
      <c r="L31" s="23" t="s">
        <v>620</v>
      </c>
      <c r="M31" s="23" t="s">
        <v>1514</v>
      </c>
      <c r="N31" s="23"/>
      <c r="O31" s="25" t="s">
        <v>1400</v>
      </c>
    </row>
    <row r="32" spans="1:15" ht="57" customHeight="1">
      <c r="A32" s="23" t="s">
        <v>611</v>
      </c>
      <c r="B32" s="23" t="s">
        <v>612</v>
      </c>
      <c r="C32" s="24" t="s">
        <v>613</v>
      </c>
      <c r="D32" s="23" t="s">
        <v>1515</v>
      </c>
      <c r="E32" s="24" t="s">
        <v>1516</v>
      </c>
      <c r="F32" s="23">
        <v>12</v>
      </c>
      <c r="G32" s="23" t="s">
        <v>283</v>
      </c>
      <c r="H32" s="23" t="s">
        <v>1254</v>
      </c>
      <c r="I32" s="25" t="s">
        <v>120</v>
      </c>
      <c r="J32" s="23" t="s">
        <v>1305</v>
      </c>
      <c r="K32" s="23" t="s">
        <v>1517</v>
      </c>
      <c r="L32" s="23" t="s">
        <v>620</v>
      </c>
      <c r="M32" s="23" t="s">
        <v>1518</v>
      </c>
      <c r="N32" s="23" t="s">
        <v>1519</v>
      </c>
      <c r="O32" s="23" t="s">
        <v>1412</v>
      </c>
    </row>
    <row r="33" spans="1:15" ht="42.75" customHeight="1">
      <c r="A33" s="23" t="s">
        <v>611</v>
      </c>
      <c r="B33" s="23" t="s">
        <v>612</v>
      </c>
      <c r="C33" s="24" t="s">
        <v>613</v>
      </c>
      <c r="D33" s="23" t="s">
        <v>1520</v>
      </c>
      <c r="E33" s="24" t="s">
        <v>1521</v>
      </c>
      <c r="F33" s="23">
        <v>10</v>
      </c>
      <c r="G33" s="23" t="s">
        <v>283</v>
      </c>
      <c r="H33" s="23" t="s">
        <v>1254</v>
      </c>
      <c r="I33" s="25" t="s">
        <v>120</v>
      </c>
      <c r="J33" s="23" t="s">
        <v>1305</v>
      </c>
      <c r="K33" s="23" t="s">
        <v>1517</v>
      </c>
      <c r="L33" s="23" t="s">
        <v>620</v>
      </c>
      <c r="M33" s="23" t="s">
        <v>1522</v>
      </c>
      <c r="N33" s="23"/>
      <c r="O33" s="23" t="s">
        <v>1412</v>
      </c>
    </row>
    <row r="34" spans="1:15" ht="71.25" customHeight="1">
      <c r="A34" s="23" t="s">
        <v>354</v>
      </c>
      <c r="B34" s="23" t="s">
        <v>355</v>
      </c>
      <c r="C34" s="24" t="s">
        <v>356</v>
      </c>
      <c r="D34" s="23" t="s">
        <v>1523</v>
      </c>
      <c r="E34" s="23" t="s">
        <v>1524</v>
      </c>
      <c r="F34" s="23">
        <v>2145</v>
      </c>
      <c r="G34" s="23" t="s">
        <v>365</v>
      </c>
      <c r="H34" s="23" t="s">
        <v>1276</v>
      </c>
      <c r="I34" s="27" t="s">
        <v>149</v>
      </c>
      <c r="J34" s="23" t="s">
        <v>1277</v>
      </c>
      <c r="K34" s="23" t="s">
        <v>1525</v>
      </c>
      <c r="L34" s="23" t="s">
        <v>366</v>
      </c>
      <c r="M34" s="23" t="s">
        <v>1526</v>
      </c>
      <c r="N34" s="23" t="s">
        <v>1278</v>
      </c>
      <c r="O34" s="25" t="s">
        <v>1400</v>
      </c>
    </row>
    <row r="35" spans="1:15" ht="85.5" customHeight="1">
      <c r="A35" s="23" t="s">
        <v>372</v>
      </c>
      <c r="B35" s="23" t="s">
        <v>373</v>
      </c>
      <c r="C35" s="24" t="s">
        <v>374</v>
      </c>
      <c r="D35" s="23" t="s">
        <v>1527</v>
      </c>
      <c r="E35" s="24" t="s">
        <v>1528</v>
      </c>
      <c r="F35" s="23">
        <v>136</v>
      </c>
      <c r="G35" s="23" t="s">
        <v>381</v>
      </c>
      <c r="H35" s="23" t="s">
        <v>1257</v>
      </c>
      <c r="I35" s="25" t="s">
        <v>120</v>
      </c>
      <c r="J35" s="23" t="s">
        <v>1279</v>
      </c>
      <c r="K35" s="23" t="s">
        <v>1529</v>
      </c>
      <c r="L35" s="23" t="s">
        <v>382</v>
      </c>
      <c r="M35" s="23" t="s">
        <v>1530</v>
      </c>
      <c r="N35" s="24" t="s">
        <v>1280</v>
      </c>
      <c r="O35" s="25" t="s">
        <v>1400</v>
      </c>
    </row>
    <row r="36" spans="1:15" ht="42.75" customHeight="1">
      <c r="A36" s="23" t="s">
        <v>372</v>
      </c>
      <c r="B36" s="23" t="s">
        <v>373</v>
      </c>
      <c r="C36" s="24" t="s">
        <v>374</v>
      </c>
      <c r="D36" s="23" t="s">
        <v>1531</v>
      </c>
      <c r="E36" s="23" t="s">
        <v>1532</v>
      </c>
      <c r="F36" s="23">
        <v>12</v>
      </c>
      <c r="G36" s="23" t="s">
        <v>381</v>
      </c>
      <c r="H36" s="23" t="s">
        <v>1257</v>
      </c>
      <c r="I36" s="25" t="s">
        <v>120</v>
      </c>
      <c r="J36" s="23" t="s">
        <v>1279</v>
      </c>
      <c r="K36" s="23" t="s">
        <v>1533</v>
      </c>
      <c r="L36" s="23" t="s">
        <v>382</v>
      </c>
      <c r="M36" s="23" t="s">
        <v>1534</v>
      </c>
      <c r="N36" s="23"/>
      <c r="O36" s="23" t="s">
        <v>1412</v>
      </c>
    </row>
    <row r="37" spans="1:15" ht="42.75" customHeight="1">
      <c r="A37" s="23" t="s">
        <v>372</v>
      </c>
      <c r="B37" s="23" t="s">
        <v>373</v>
      </c>
      <c r="C37" s="24" t="s">
        <v>374</v>
      </c>
      <c r="D37" s="23" t="s">
        <v>1535</v>
      </c>
      <c r="E37" s="24" t="s">
        <v>1536</v>
      </c>
      <c r="F37" s="23">
        <v>80</v>
      </c>
      <c r="G37" s="23" t="s">
        <v>381</v>
      </c>
      <c r="H37" s="23" t="s">
        <v>1257</v>
      </c>
      <c r="I37" s="25" t="s">
        <v>120</v>
      </c>
      <c r="J37" s="23" t="s">
        <v>1279</v>
      </c>
      <c r="K37" s="23" t="s">
        <v>1533</v>
      </c>
      <c r="L37" s="23" t="s">
        <v>382</v>
      </c>
      <c r="M37" s="23" t="s">
        <v>1537</v>
      </c>
      <c r="N37" s="24" t="s">
        <v>1538</v>
      </c>
      <c r="O37" s="23" t="s">
        <v>1412</v>
      </c>
    </row>
    <row r="38" spans="1:15" ht="71.25" customHeight="1">
      <c r="A38" s="23" t="s">
        <v>1097</v>
      </c>
      <c r="B38" s="23" t="s">
        <v>1098</v>
      </c>
      <c r="C38" s="24" t="s">
        <v>1099</v>
      </c>
      <c r="D38" s="23" t="s">
        <v>1539</v>
      </c>
      <c r="E38" s="24" t="s">
        <v>1540</v>
      </c>
      <c r="F38" s="23">
        <v>339</v>
      </c>
      <c r="G38" s="23" t="s">
        <v>249</v>
      </c>
      <c r="H38" s="23" t="s">
        <v>1254</v>
      </c>
      <c r="I38" s="25" t="s">
        <v>120</v>
      </c>
      <c r="J38" s="23" t="s">
        <v>1374</v>
      </c>
      <c r="K38" s="23" t="s">
        <v>1541</v>
      </c>
      <c r="L38" s="23" t="s">
        <v>1105</v>
      </c>
      <c r="M38" s="23" t="s">
        <v>1542</v>
      </c>
      <c r="N38" s="24" t="s">
        <v>1375</v>
      </c>
      <c r="O38" s="25" t="s">
        <v>1400</v>
      </c>
    </row>
    <row r="39" spans="1:15" ht="57" customHeight="1">
      <c r="A39" s="23" t="s">
        <v>1112</v>
      </c>
      <c r="B39" s="23" t="s">
        <v>1113</v>
      </c>
      <c r="C39" s="24" t="s">
        <v>1114</v>
      </c>
      <c r="D39" s="23" t="s">
        <v>1512</v>
      </c>
      <c r="E39" s="23" t="s">
        <v>1543</v>
      </c>
      <c r="F39" s="23">
        <v>139</v>
      </c>
      <c r="G39" s="23" t="s">
        <v>283</v>
      </c>
      <c r="H39" s="23" t="s">
        <v>1254</v>
      </c>
      <c r="I39" s="25" t="s">
        <v>120</v>
      </c>
      <c r="J39" s="23" t="s">
        <v>1376</v>
      </c>
      <c r="K39" s="23" t="s">
        <v>1544</v>
      </c>
      <c r="L39" s="23" t="s">
        <v>1118</v>
      </c>
      <c r="M39" s="23" t="s">
        <v>1545</v>
      </c>
      <c r="N39" s="23"/>
      <c r="O39" s="25" t="s">
        <v>1400</v>
      </c>
    </row>
    <row r="40" spans="1:15" ht="42.75" customHeight="1">
      <c r="A40" s="23" t="s">
        <v>812</v>
      </c>
      <c r="B40" s="23" t="s">
        <v>813</v>
      </c>
      <c r="C40" s="24" t="s">
        <v>814</v>
      </c>
      <c r="D40" s="23" t="s">
        <v>1546</v>
      </c>
      <c r="E40" s="24" t="s">
        <v>1434</v>
      </c>
      <c r="F40" s="23">
        <v>24</v>
      </c>
      <c r="G40" s="23" t="s">
        <v>445</v>
      </c>
      <c r="H40" s="23" t="s">
        <v>1254</v>
      </c>
      <c r="I40" s="25" t="s">
        <v>120</v>
      </c>
      <c r="J40" s="23" t="s">
        <v>1330</v>
      </c>
      <c r="K40" s="23" t="s">
        <v>1547</v>
      </c>
      <c r="L40" s="23" t="s">
        <v>821</v>
      </c>
      <c r="M40" s="23" t="s">
        <v>1548</v>
      </c>
      <c r="N40" s="23" t="s">
        <v>1331</v>
      </c>
      <c r="O40" s="25" t="s">
        <v>1400</v>
      </c>
    </row>
    <row r="41" spans="1:15" ht="28.5" customHeight="1">
      <c r="A41" s="23" t="s">
        <v>812</v>
      </c>
      <c r="B41" s="23" t="s">
        <v>813</v>
      </c>
      <c r="C41" s="24" t="s">
        <v>814</v>
      </c>
      <c r="D41" s="23" t="s">
        <v>1549</v>
      </c>
      <c r="E41" s="24" t="s">
        <v>1550</v>
      </c>
      <c r="F41" s="23">
        <v>48</v>
      </c>
      <c r="G41" s="23" t="s">
        <v>445</v>
      </c>
      <c r="H41" s="23" t="s">
        <v>1254</v>
      </c>
      <c r="I41" s="25" t="s">
        <v>120</v>
      </c>
      <c r="J41" s="23" t="s">
        <v>1330</v>
      </c>
      <c r="K41" s="23" t="s">
        <v>1551</v>
      </c>
      <c r="L41" s="23" t="s">
        <v>821</v>
      </c>
      <c r="M41" s="23" t="s">
        <v>1552</v>
      </c>
      <c r="N41" s="23"/>
      <c r="O41" s="23" t="s">
        <v>1412</v>
      </c>
    </row>
    <row r="42" spans="1:15" ht="42.75" customHeight="1">
      <c r="A42" s="23" t="s">
        <v>786</v>
      </c>
      <c r="B42" s="23" t="s">
        <v>787</v>
      </c>
      <c r="C42" s="24" t="s">
        <v>788</v>
      </c>
      <c r="D42" s="23" t="s">
        <v>795</v>
      </c>
      <c r="E42" s="24" t="s">
        <v>1553</v>
      </c>
      <c r="F42" s="23">
        <v>784</v>
      </c>
      <c r="G42" s="23" t="s">
        <v>646</v>
      </c>
      <c r="H42" s="23" t="s">
        <v>1254</v>
      </c>
      <c r="I42" s="25" t="s">
        <v>120</v>
      </c>
      <c r="J42" s="23" t="s">
        <v>1328</v>
      </c>
      <c r="K42" s="23" t="s">
        <v>1554</v>
      </c>
      <c r="L42" s="23" t="s">
        <v>796</v>
      </c>
      <c r="M42" s="23" t="s">
        <v>1555</v>
      </c>
      <c r="N42" s="23"/>
      <c r="O42" s="25" t="s">
        <v>1400</v>
      </c>
    </row>
    <row r="43" spans="1:15" ht="42.75" customHeight="1">
      <c r="A43" s="23" t="s">
        <v>700</v>
      </c>
      <c r="B43" s="23" t="s">
        <v>701</v>
      </c>
      <c r="C43" s="24" t="s">
        <v>702</v>
      </c>
      <c r="D43" s="23" t="s">
        <v>1556</v>
      </c>
      <c r="E43" s="24" t="s">
        <v>1557</v>
      </c>
      <c r="F43" s="23">
        <v>7</v>
      </c>
      <c r="G43" s="23" t="s">
        <v>708</v>
      </c>
      <c r="H43" s="23" t="s">
        <v>1254</v>
      </c>
      <c r="I43" s="25" t="s">
        <v>120</v>
      </c>
      <c r="J43" s="23" t="s">
        <v>1315</v>
      </c>
      <c r="K43" s="23" t="s">
        <v>1558</v>
      </c>
      <c r="L43" s="23" t="s">
        <v>709</v>
      </c>
      <c r="M43" s="23" t="s">
        <v>1559</v>
      </c>
      <c r="N43" s="24" t="s">
        <v>1560</v>
      </c>
      <c r="O43" s="25" t="s">
        <v>1400</v>
      </c>
    </row>
    <row r="44" spans="1:15" ht="57" customHeight="1">
      <c r="A44" s="23" t="s">
        <v>729</v>
      </c>
      <c r="B44" s="23" t="s">
        <v>730</v>
      </c>
      <c r="C44" s="24" t="s">
        <v>731</v>
      </c>
      <c r="D44" s="23" t="s">
        <v>737</v>
      </c>
      <c r="E44" s="24" t="s">
        <v>1561</v>
      </c>
      <c r="F44" s="23">
        <v>2</v>
      </c>
      <c r="G44" s="23" t="s">
        <v>738</v>
      </c>
      <c r="H44" s="23" t="s">
        <v>1254</v>
      </c>
      <c r="I44" s="25" t="s">
        <v>120</v>
      </c>
      <c r="J44" s="23" t="s">
        <v>1281</v>
      </c>
      <c r="K44" s="23" t="s">
        <v>1562</v>
      </c>
      <c r="L44" s="23" t="s">
        <v>739</v>
      </c>
      <c r="M44" s="23" t="s">
        <v>1563</v>
      </c>
      <c r="N44" s="23"/>
      <c r="O44" s="25" t="s">
        <v>1400</v>
      </c>
    </row>
    <row r="45" spans="1:15" ht="85.5" customHeight="1">
      <c r="A45" s="23" t="s">
        <v>1065</v>
      </c>
      <c r="B45" s="23" t="s">
        <v>1066</v>
      </c>
      <c r="C45" s="24" t="s">
        <v>1067</v>
      </c>
      <c r="D45" s="23" t="s">
        <v>1074</v>
      </c>
      <c r="E45" s="23" t="s">
        <v>1564</v>
      </c>
      <c r="F45" s="23">
        <v>10</v>
      </c>
      <c r="G45" s="23" t="s">
        <v>381</v>
      </c>
      <c r="H45" s="23" t="s">
        <v>1254</v>
      </c>
      <c r="I45" s="25" t="s">
        <v>120</v>
      </c>
      <c r="J45" s="23" t="s">
        <v>1369</v>
      </c>
      <c r="K45" s="23" t="s">
        <v>1565</v>
      </c>
      <c r="L45" s="23" t="s">
        <v>1075</v>
      </c>
      <c r="M45" s="23" t="s">
        <v>1566</v>
      </c>
      <c r="N45" s="24" t="s">
        <v>1567</v>
      </c>
      <c r="O45" s="25" t="s">
        <v>1400</v>
      </c>
    </row>
    <row r="46" spans="1:15" ht="57" customHeight="1">
      <c r="A46" s="23" t="s">
        <v>1230</v>
      </c>
      <c r="B46" s="23" t="s">
        <v>1231</v>
      </c>
      <c r="C46" s="24" t="s">
        <v>1232</v>
      </c>
      <c r="D46" s="23" t="s">
        <v>1568</v>
      </c>
      <c r="E46" s="24" t="s">
        <v>1569</v>
      </c>
      <c r="F46" s="23">
        <v>841</v>
      </c>
      <c r="G46" s="23" t="s">
        <v>316</v>
      </c>
      <c r="H46" s="23" t="s">
        <v>1262</v>
      </c>
      <c r="I46" s="25" t="s">
        <v>120</v>
      </c>
      <c r="J46" s="23" t="s">
        <v>1390</v>
      </c>
      <c r="K46" s="23" t="s">
        <v>1570</v>
      </c>
      <c r="L46" s="23" t="s">
        <v>1238</v>
      </c>
      <c r="M46" s="23" t="s">
        <v>1571</v>
      </c>
      <c r="N46" s="23"/>
      <c r="O46" s="25" t="s">
        <v>1400</v>
      </c>
    </row>
    <row r="47" spans="1:15" ht="57" customHeight="1">
      <c r="A47" s="23" t="s">
        <v>1135</v>
      </c>
      <c r="B47" s="23" t="s">
        <v>1136</v>
      </c>
      <c r="C47" s="24" t="s">
        <v>1137</v>
      </c>
      <c r="D47" s="23" t="s">
        <v>1572</v>
      </c>
      <c r="E47" s="24" t="s">
        <v>1573</v>
      </c>
      <c r="F47" s="23">
        <v>31</v>
      </c>
      <c r="G47" s="23" t="s">
        <v>283</v>
      </c>
      <c r="H47" s="23" t="s">
        <v>1254</v>
      </c>
      <c r="I47" s="25" t="s">
        <v>120</v>
      </c>
      <c r="J47" s="23" t="s">
        <v>1379</v>
      </c>
      <c r="K47" s="23" t="s">
        <v>1574</v>
      </c>
      <c r="L47" s="23" t="s">
        <v>1141</v>
      </c>
      <c r="M47" s="23" t="s">
        <v>1575</v>
      </c>
      <c r="N47" s="23"/>
      <c r="O47" s="25" t="s">
        <v>1400</v>
      </c>
    </row>
    <row r="48" spans="1:15" ht="57" customHeight="1">
      <c r="A48" s="23" t="s">
        <v>1157</v>
      </c>
      <c r="B48" s="23" t="s">
        <v>1158</v>
      </c>
      <c r="C48" s="24" t="s">
        <v>1159</v>
      </c>
      <c r="D48" s="23" t="s">
        <v>1576</v>
      </c>
      <c r="E48" s="24" t="s">
        <v>1577</v>
      </c>
      <c r="F48" s="23">
        <v>176</v>
      </c>
      <c r="G48" s="23" t="s">
        <v>283</v>
      </c>
      <c r="H48" s="23" t="s">
        <v>1262</v>
      </c>
      <c r="I48" s="25" t="s">
        <v>120</v>
      </c>
      <c r="J48" s="23" t="s">
        <v>1381</v>
      </c>
      <c r="K48" s="23" t="s">
        <v>1578</v>
      </c>
      <c r="L48" s="23" t="s">
        <v>1163</v>
      </c>
      <c r="M48" s="23" t="s">
        <v>1579</v>
      </c>
      <c r="N48" s="23"/>
      <c r="O48" s="25" t="s">
        <v>1400</v>
      </c>
    </row>
    <row r="49" spans="1:15" ht="42.75" customHeight="1">
      <c r="A49" s="23" t="s">
        <v>1157</v>
      </c>
      <c r="B49" s="23" t="s">
        <v>1158</v>
      </c>
      <c r="C49" s="24" t="s">
        <v>1159</v>
      </c>
      <c r="D49" s="23" t="s">
        <v>1580</v>
      </c>
      <c r="E49" s="24" t="s">
        <v>1581</v>
      </c>
      <c r="F49" s="23">
        <v>13</v>
      </c>
      <c r="G49" s="23" t="s">
        <v>283</v>
      </c>
      <c r="H49" s="23" t="s">
        <v>1262</v>
      </c>
      <c r="I49" s="25" t="s">
        <v>120</v>
      </c>
      <c r="J49" s="23" t="s">
        <v>1381</v>
      </c>
      <c r="K49" s="23" t="s">
        <v>1582</v>
      </c>
      <c r="L49" s="23" t="s">
        <v>1163</v>
      </c>
      <c r="M49" s="23" t="s">
        <v>1583</v>
      </c>
      <c r="N49" s="23"/>
      <c r="O49" s="23" t="s">
        <v>1412</v>
      </c>
    </row>
    <row r="50" spans="1:15" ht="42.75" customHeight="1">
      <c r="A50" s="23" t="s">
        <v>1192</v>
      </c>
      <c r="B50" s="23" t="s">
        <v>1193</v>
      </c>
      <c r="C50" s="24" t="s">
        <v>1194</v>
      </c>
      <c r="D50" s="23" t="s">
        <v>1584</v>
      </c>
      <c r="E50" s="24" t="s">
        <v>1585</v>
      </c>
      <c r="F50" s="23">
        <v>27</v>
      </c>
      <c r="G50" s="23" t="s">
        <v>1586</v>
      </c>
      <c r="H50" s="23" t="s">
        <v>1254</v>
      </c>
      <c r="I50" s="25" t="s">
        <v>120</v>
      </c>
      <c r="J50" s="23" t="s">
        <v>1386</v>
      </c>
      <c r="K50" s="23" t="s">
        <v>1587</v>
      </c>
      <c r="L50" s="23" t="s">
        <v>1198</v>
      </c>
      <c r="M50" s="23" t="s">
        <v>1588</v>
      </c>
      <c r="N50" s="23"/>
      <c r="O50" s="23" t="s">
        <v>1412</v>
      </c>
    </row>
    <row r="51" spans="1:15" ht="42.75" customHeight="1">
      <c r="A51" s="23" t="s">
        <v>1192</v>
      </c>
      <c r="B51" s="23" t="s">
        <v>1193</v>
      </c>
      <c r="C51" s="24" t="s">
        <v>1194</v>
      </c>
      <c r="D51" s="23" t="s">
        <v>1589</v>
      </c>
      <c r="E51" s="24" t="s">
        <v>1590</v>
      </c>
      <c r="F51" s="23">
        <v>36</v>
      </c>
      <c r="G51" s="23" t="s">
        <v>678</v>
      </c>
      <c r="H51" s="23" t="s">
        <v>1254</v>
      </c>
      <c r="I51" s="25" t="s">
        <v>120</v>
      </c>
      <c r="J51" s="23" t="s">
        <v>1386</v>
      </c>
      <c r="K51" s="23" t="s">
        <v>1591</v>
      </c>
      <c r="L51" s="23" t="s">
        <v>1198</v>
      </c>
      <c r="M51" s="23" t="s">
        <v>1592</v>
      </c>
      <c r="N51" s="23"/>
      <c r="O51" s="25" t="s">
        <v>1400</v>
      </c>
    </row>
    <row r="52" spans="1:15" ht="57" customHeight="1">
      <c r="A52" s="23" t="s">
        <v>565</v>
      </c>
      <c r="B52" s="23" t="s">
        <v>566</v>
      </c>
      <c r="C52" s="24" t="s">
        <v>567</v>
      </c>
      <c r="D52" s="23" t="s">
        <v>1593</v>
      </c>
      <c r="E52" s="24" t="s">
        <v>1434</v>
      </c>
      <c r="F52" s="23">
        <v>7</v>
      </c>
      <c r="G52" s="23" t="s">
        <v>283</v>
      </c>
      <c r="H52" s="23" t="s">
        <v>1254</v>
      </c>
      <c r="I52" s="25" t="s">
        <v>120</v>
      </c>
      <c r="J52" s="23" t="s">
        <v>1299</v>
      </c>
      <c r="K52" s="23" t="s">
        <v>1594</v>
      </c>
      <c r="L52" s="23" t="s">
        <v>573</v>
      </c>
      <c r="M52" s="23" t="s">
        <v>1595</v>
      </c>
      <c r="N52" s="23"/>
      <c r="O52" s="25" t="s">
        <v>1400</v>
      </c>
    </row>
    <row r="53" spans="1:15" ht="42.75" customHeight="1">
      <c r="A53" s="23" t="s">
        <v>565</v>
      </c>
      <c r="B53" s="23" t="s">
        <v>566</v>
      </c>
      <c r="C53" s="24" t="s">
        <v>567</v>
      </c>
      <c r="D53" s="23" t="s">
        <v>1596</v>
      </c>
      <c r="E53" s="24" t="s">
        <v>1597</v>
      </c>
      <c r="F53" s="23">
        <v>5</v>
      </c>
      <c r="G53" s="23" t="s">
        <v>283</v>
      </c>
      <c r="H53" s="23" t="s">
        <v>1254</v>
      </c>
      <c r="I53" s="25" t="s">
        <v>120</v>
      </c>
      <c r="J53" s="23" t="s">
        <v>1299</v>
      </c>
      <c r="K53" s="23" t="s">
        <v>1598</v>
      </c>
      <c r="L53" s="23" t="s">
        <v>573</v>
      </c>
      <c r="M53" s="23" t="s">
        <v>1599</v>
      </c>
      <c r="N53" s="23"/>
      <c r="O53" s="23" t="s">
        <v>1412</v>
      </c>
    </row>
    <row r="54" spans="1:15" ht="71.25" customHeight="1">
      <c r="A54" s="23" t="s">
        <v>580</v>
      </c>
      <c r="B54" s="23" t="s">
        <v>581</v>
      </c>
      <c r="C54" s="24" t="s">
        <v>582</v>
      </c>
      <c r="D54" s="23" t="s">
        <v>1600</v>
      </c>
      <c r="E54" s="24" t="s">
        <v>1601</v>
      </c>
      <c r="F54" s="23">
        <v>7</v>
      </c>
      <c r="G54" s="23" t="s">
        <v>381</v>
      </c>
      <c r="H54" s="23" t="s">
        <v>1254</v>
      </c>
      <c r="I54" s="25" t="s">
        <v>120</v>
      </c>
      <c r="J54" s="23" t="s">
        <v>1300</v>
      </c>
      <c r="K54" s="23" t="s">
        <v>1602</v>
      </c>
      <c r="L54" s="23" t="s">
        <v>591</v>
      </c>
      <c r="M54" s="23" t="s">
        <v>1603</v>
      </c>
      <c r="N54" s="24" t="s">
        <v>1301</v>
      </c>
      <c r="O54" s="25" t="s">
        <v>1400</v>
      </c>
    </row>
    <row r="55" spans="1:15" ht="57" customHeight="1">
      <c r="A55" s="23" t="s">
        <v>534</v>
      </c>
      <c r="B55" s="23" t="s">
        <v>535</v>
      </c>
      <c r="C55" s="24" t="s">
        <v>536</v>
      </c>
      <c r="D55" s="23" t="s">
        <v>1604</v>
      </c>
      <c r="E55" s="24" t="s">
        <v>1414</v>
      </c>
      <c r="F55" s="23">
        <v>19</v>
      </c>
      <c r="G55" s="23" t="s">
        <v>381</v>
      </c>
      <c r="H55" s="23" t="s">
        <v>1254</v>
      </c>
      <c r="I55" s="25" t="s">
        <v>120</v>
      </c>
      <c r="J55" s="23" t="s">
        <v>1297</v>
      </c>
      <c r="K55" s="23" t="s">
        <v>1605</v>
      </c>
      <c r="L55" s="23" t="s">
        <v>542</v>
      </c>
      <c r="M55" s="23" t="s">
        <v>1606</v>
      </c>
      <c r="N55" s="23"/>
      <c r="O55" s="25" t="s">
        <v>1400</v>
      </c>
    </row>
    <row r="56" spans="1:15" ht="57" customHeight="1">
      <c r="A56" s="23" t="s">
        <v>548</v>
      </c>
      <c r="B56" s="23" t="s">
        <v>549</v>
      </c>
      <c r="C56" s="24" t="s">
        <v>550</v>
      </c>
      <c r="D56" s="23" t="s">
        <v>1607</v>
      </c>
      <c r="E56" s="24" t="s">
        <v>1608</v>
      </c>
      <c r="F56" s="23">
        <v>585</v>
      </c>
      <c r="G56" s="23" t="s">
        <v>316</v>
      </c>
      <c r="H56" s="23" t="s">
        <v>1262</v>
      </c>
      <c r="I56" s="25" t="s">
        <v>120</v>
      </c>
      <c r="J56" s="23" t="s">
        <v>1298</v>
      </c>
      <c r="K56" s="23" t="s">
        <v>1609</v>
      </c>
      <c r="L56" s="23" t="s">
        <v>558</v>
      </c>
      <c r="M56" s="23" t="s">
        <v>1610</v>
      </c>
      <c r="N56" s="23"/>
      <c r="O56" s="25" t="s">
        <v>1400</v>
      </c>
    </row>
    <row r="57" spans="1:15" ht="57" customHeight="1">
      <c r="A57" s="23" t="s">
        <v>1180</v>
      </c>
      <c r="B57" s="23" t="s">
        <v>1181</v>
      </c>
      <c r="C57" s="24" t="s">
        <v>1182</v>
      </c>
      <c r="D57" s="23" t="s">
        <v>1611</v>
      </c>
      <c r="E57" s="24" t="s">
        <v>1612</v>
      </c>
      <c r="F57" s="23">
        <v>100</v>
      </c>
      <c r="G57" s="23" t="s">
        <v>445</v>
      </c>
      <c r="H57" s="23" t="s">
        <v>1262</v>
      </c>
      <c r="I57" s="25" t="s">
        <v>120</v>
      </c>
      <c r="J57" s="23" t="s">
        <v>1384</v>
      </c>
      <c r="K57" s="23" t="s">
        <v>1613</v>
      </c>
      <c r="L57" s="23" t="s">
        <v>1186</v>
      </c>
      <c r="M57" s="23" t="s">
        <v>1614</v>
      </c>
      <c r="N57" s="23" t="s">
        <v>1385</v>
      </c>
      <c r="O57" s="25" t="s">
        <v>1400</v>
      </c>
    </row>
    <row r="58" spans="1:15" ht="28.5" customHeight="1">
      <c r="A58" s="23" t="s">
        <v>1146</v>
      </c>
      <c r="B58" s="23" t="s">
        <v>1147</v>
      </c>
      <c r="C58" s="24" t="s">
        <v>1148</v>
      </c>
      <c r="D58" s="23" t="s">
        <v>1615</v>
      </c>
      <c r="E58" s="24" t="s">
        <v>1616</v>
      </c>
      <c r="F58" s="23">
        <v>4</v>
      </c>
      <c r="G58" s="23" t="s">
        <v>283</v>
      </c>
      <c r="H58" s="23" t="s">
        <v>1254</v>
      </c>
      <c r="I58" s="25" t="s">
        <v>120</v>
      </c>
      <c r="J58" s="23" t="s">
        <v>1380</v>
      </c>
      <c r="K58" s="23" t="s">
        <v>1617</v>
      </c>
      <c r="L58" s="23" t="s">
        <v>1152</v>
      </c>
      <c r="M58" s="23" t="s">
        <v>1618</v>
      </c>
      <c r="N58" s="23"/>
      <c r="O58" s="25" t="s">
        <v>1400</v>
      </c>
    </row>
    <row r="59" spans="1:15" ht="28.5" customHeight="1">
      <c r="A59" s="23" t="s">
        <v>1146</v>
      </c>
      <c r="B59" s="23" t="s">
        <v>1147</v>
      </c>
      <c r="C59" s="24" t="s">
        <v>1148</v>
      </c>
      <c r="D59" s="23" t="s">
        <v>1619</v>
      </c>
      <c r="E59" s="24" t="s">
        <v>1620</v>
      </c>
      <c r="F59" s="23">
        <v>5</v>
      </c>
      <c r="G59" s="23" t="s">
        <v>283</v>
      </c>
      <c r="H59" s="23" t="s">
        <v>1254</v>
      </c>
      <c r="I59" s="25" t="s">
        <v>120</v>
      </c>
      <c r="J59" s="23" t="s">
        <v>1380</v>
      </c>
      <c r="K59" s="23" t="s">
        <v>1617</v>
      </c>
      <c r="L59" s="23" t="s">
        <v>1152</v>
      </c>
      <c r="M59" s="23" t="s">
        <v>1621</v>
      </c>
      <c r="N59" s="23"/>
      <c r="O59" s="23" t="s">
        <v>1412</v>
      </c>
    </row>
    <row r="60" spans="1:15" ht="42.75" customHeight="1">
      <c r="A60" s="23" t="s">
        <v>439</v>
      </c>
      <c r="B60" s="23" t="s">
        <v>440</v>
      </c>
      <c r="C60" s="24" t="s">
        <v>441</v>
      </c>
      <c r="D60" s="23" t="s">
        <v>1622</v>
      </c>
      <c r="E60" s="24" t="s">
        <v>1434</v>
      </c>
      <c r="F60" s="23">
        <v>11</v>
      </c>
      <c r="G60" s="23" t="s">
        <v>381</v>
      </c>
      <c r="H60" s="23" t="s">
        <v>1254</v>
      </c>
      <c r="I60" s="25" t="s">
        <v>120</v>
      </c>
      <c r="J60" s="23" t="s">
        <v>1288</v>
      </c>
      <c r="K60" s="23" t="s">
        <v>1623</v>
      </c>
      <c r="L60" s="23" t="s">
        <v>447</v>
      </c>
      <c r="M60" s="23" t="s">
        <v>1624</v>
      </c>
      <c r="N60" s="23"/>
      <c r="O60" s="25" t="s">
        <v>1400</v>
      </c>
    </row>
    <row r="61" spans="1:15" ht="42.75" customHeight="1">
      <c r="A61" s="23" t="s">
        <v>439</v>
      </c>
      <c r="B61" s="23" t="s">
        <v>440</v>
      </c>
      <c r="C61" s="24" t="s">
        <v>441</v>
      </c>
      <c r="D61" s="23" t="s">
        <v>1625</v>
      </c>
      <c r="E61" s="24" t="s">
        <v>1626</v>
      </c>
      <c r="F61" s="23">
        <v>26</v>
      </c>
      <c r="G61" s="23" t="s">
        <v>283</v>
      </c>
      <c r="H61" s="23" t="s">
        <v>1254</v>
      </c>
      <c r="I61" s="27" t="s">
        <v>149</v>
      </c>
      <c r="J61" s="23" t="s">
        <v>1627</v>
      </c>
      <c r="K61" s="23" t="s">
        <v>1628</v>
      </c>
      <c r="L61" s="23" t="s">
        <v>1629</v>
      </c>
      <c r="M61" s="23" t="s">
        <v>1630</v>
      </c>
      <c r="N61" s="23" t="s">
        <v>1631</v>
      </c>
      <c r="O61" s="23" t="s">
        <v>1412</v>
      </c>
    </row>
    <row r="62" spans="1:15" ht="99.75" customHeight="1">
      <c r="A62" s="23" t="s">
        <v>839</v>
      </c>
      <c r="B62" s="23" t="s">
        <v>840</v>
      </c>
      <c r="C62" s="24" t="s">
        <v>841</v>
      </c>
      <c r="D62" s="23" t="s">
        <v>1632</v>
      </c>
      <c r="E62" s="24" t="s">
        <v>1633</v>
      </c>
      <c r="F62" s="23">
        <v>2938</v>
      </c>
      <c r="G62" s="23" t="s">
        <v>148</v>
      </c>
      <c r="H62" s="23" t="s">
        <v>1254</v>
      </c>
      <c r="I62" s="25" t="s">
        <v>120</v>
      </c>
      <c r="J62" s="23" t="s">
        <v>1334</v>
      </c>
      <c r="K62" s="23" t="s">
        <v>1634</v>
      </c>
      <c r="L62" s="23" t="s">
        <v>845</v>
      </c>
      <c r="M62" s="23" t="s">
        <v>1635</v>
      </c>
      <c r="N62" s="23" t="s">
        <v>1335</v>
      </c>
      <c r="O62" s="25" t="s">
        <v>1400</v>
      </c>
    </row>
    <row r="63" spans="1:15" ht="71.25" customHeight="1">
      <c r="A63" s="23" t="s">
        <v>839</v>
      </c>
      <c r="B63" s="23" t="s">
        <v>840</v>
      </c>
      <c r="C63" s="24" t="s">
        <v>841</v>
      </c>
      <c r="D63" s="23" t="s">
        <v>1636</v>
      </c>
      <c r="E63" s="24" t="s">
        <v>1637</v>
      </c>
      <c r="F63" s="23">
        <v>3047</v>
      </c>
      <c r="G63" s="23" t="s">
        <v>1638</v>
      </c>
      <c r="H63" s="23" t="s">
        <v>1262</v>
      </c>
      <c r="I63" s="27" t="s">
        <v>149</v>
      </c>
      <c r="J63" s="23" t="s">
        <v>1639</v>
      </c>
      <c r="K63" s="23" t="s">
        <v>1640</v>
      </c>
      <c r="L63" s="23" t="s">
        <v>1641</v>
      </c>
      <c r="M63" s="23" t="s">
        <v>1642</v>
      </c>
      <c r="N63" s="23"/>
      <c r="O63" s="23" t="s">
        <v>1412</v>
      </c>
    </row>
    <row r="64" spans="1:15" ht="57" customHeight="1">
      <c r="A64" s="23" t="s">
        <v>852</v>
      </c>
      <c r="B64" s="23" t="s">
        <v>853</v>
      </c>
      <c r="C64" s="24" t="s">
        <v>854</v>
      </c>
      <c r="D64" s="23" t="s">
        <v>859</v>
      </c>
      <c r="E64" s="24" t="s">
        <v>1643</v>
      </c>
      <c r="F64" s="23">
        <v>1402</v>
      </c>
      <c r="G64" s="23" t="s">
        <v>664</v>
      </c>
      <c r="H64" s="23" t="s">
        <v>1254</v>
      </c>
      <c r="I64" s="25" t="s">
        <v>120</v>
      </c>
      <c r="J64" s="23" t="s">
        <v>1336</v>
      </c>
      <c r="K64" s="23" t="s">
        <v>1644</v>
      </c>
      <c r="L64" s="23" t="s">
        <v>860</v>
      </c>
      <c r="M64" s="23" t="s">
        <v>1645</v>
      </c>
      <c r="N64" s="23" t="s">
        <v>1337</v>
      </c>
      <c r="O64" s="25" t="s">
        <v>1400</v>
      </c>
    </row>
    <row r="65" spans="1:15" ht="57" customHeight="1">
      <c r="A65" s="23" t="s">
        <v>852</v>
      </c>
      <c r="B65" s="23" t="s">
        <v>853</v>
      </c>
      <c r="C65" s="24" t="s">
        <v>854</v>
      </c>
      <c r="D65" s="23" t="s">
        <v>1646</v>
      </c>
      <c r="E65" s="24" t="s">
        <v>1647</v>
      </c>
      <c r="F65" s="23">
        <v>249</v>
      </c>
      <c r="G65" s="23" t="s">
        <v>664</v>
      </c>
      <c r="H65" s="23" t="s">
        <v>1254</v>
      </c>
      <c r="I65" s="25" t="s">
        <v>120</v>
      </c>
      <c r="J65" s="23" t="s">
        <v>1336</v>
      </c>
      <c r="K65" s="23" t="s">
        <v>1644</v>
      </c>
      <c r="L65" s="23" t="s">
        <v>860</v>
      </c>
      <c r="M65" s="23" t="s">
        <v>1648</v>
      </c>
      <c r="N65" s="23"/>
      <c r="O65" s="23" t="s">
        <v>1412</v>
      </c>
    </row>
    <row r="66" spans="1:15" ht="57" customHeight="1">
      <c r="A66" s="23" t="s">
        <v>866</v>
      </c>
      <c r="B66" s="23" t="s">
        <v>867</v>
      </c>
      <c r="C66" s="24" t="s">
        <v>868</v>
      </c>
      <c r="D66" s="23" t="s">
        <v>1649</v>
      </c>
      <c r="E66" s="24" t="s">
        <v>1650</v>
      </c>
      <c r="F66" s="23">
        <v>65</v>
      </c>
      <c r="G66" s="23" t="s">
        <v>163</v>
      </c>
      <c r="H66" s="23" t="s">
        <v>1254</v>
      </c>
      <c r="I66" s="25" t="s">
        <v>120</v>
      </c>
      <c r="J66" s="23" t="s">
        <v>1338</v>
      </c>
      <c r="K66" s="23" t="s">
        <v>1651</v>
      </c>
      <c r="L66" s="23" t="s">
        <v>872</v>
      </c>
      <c r="M66" s="23" t="s">
        <v>1652</v>
      </c>
      <c r="N66" s="24" t="s">
        <v>1339</v>
      </c>
      <c r="O66" s="25" t="s">
        <v>1400</v>
      </c>
    </row>
    <row r="67" spans="1:15" ht="71.25" customHeight="1">
      <c r="A67" s="23" t="s">
        <v>866</v>
      </c>
      <c r="B67" s="23" t="s">
        <v>867</v>
      </c>
      <c r="C67" s="24" t="s">
        <v>868</v>
      </c>
      <c r="D67" s="23" t="s">
        <v>663</v>
      </c>
      <c r="E67" s="24" t="s">
        <v>1653</v>
      </c>
      <c r="F67" s="23">
        <v>434</v>
      </c>
      <c r="G67" s="23" t="s">
        <v>163</v>
      </c>
      <c r="H67" s="23" t="s">
        <v>1254</v>
      </c>
      <c r="I67" s="25" t="s">
        <v>120</v>
      </c>
      <c r="J67" s="23" t="s">
        <v>1338</v>
      </c>
      <c r="K67" s="23" t="s">
        <v>1651</v>
      </c>
      <c r="L67" s="23" t="s">
        <v>872</v>
      </c>
      <c r="M67" s="23" t="s">
        <v>1654</v>
      </c>
      <c r="N67" s="24" t="s">
        <v>1655</v>
      </c>
      <c r="O67" s="23" t="s">
        <v>1412</v>
      </c>
    </row>
    <row r="68" spans="1:15" ht="57" customHeight="1">
      <c r="A68" s="23" t="s">
        <v>878</v>
      </c>
      <c r="B68" s="23" t="s">
        <v>879</v>
      </c>
      <c r="C68" s="24" t="s">
        <v>880</v>
      </c>
      <c r="D68" s="23" t="s">
        <v>885</v>
      </c>
      <c r="E68" s="24" t="s">
        <v>1521</v>
      </c>
      <c r="F68" s="23">
        <v>59</v>
      </c>
      <c r="G68" s="23" t="s">
        <v>175</v>
      </c>
      <c r="H68" s="23" t="s">
        <v>1254</v>
      </c>
      <c r="I68" s="25" t="s">
        <v>120</v>
      </c>
      <c r="J68" s="23" t="s">
        <v>1340</v>
      </c>
      <c r="K68" s="23" t="s">
        <v>1656</v>
      </c>
      <c r="L68" s="23" t="s">
        <v>884</v>
      </c>
      <c r="M68" s="23" t="s">
        <v>1657</v>
      </c>
      <c r="N68" s="23" t="s">
        <v>1341</v>
      </c>
      <c r="O68" s="25" t="s">
        <v>1400</v>
      </c>
    </row>
    <row r="69" spans="1:15" ht="57" customHeight="1">
      <c r="A69" s="23" t="s">
        <v>1024</v>
      </c>
      <c r="B69" s="23" t="s">
        <v>1025</v>
      </c>
      <c r="C69" s="24" t="s">
        <v>1026</v>
      </c>
      <c r="D69" s="23" t="s">
        <v>1658</v>
      </c>
      <c r="E69" s="24" t="s">
        <v>1659</v>
      </c>
      <c r="F69" s="23">
        <v>53</v>
      </c>
      <c r="G69" s="23" t="s">
        <v>157</v>
      </c>
      <c r="H69" s="23" t="s">
        <v>1254</v>
      </c>
      <c r="I69" s="25" t="s">
        <v>120</v>
      </c>
      <c r="J69" s="23" t="s">
        <v>1342</v>
      </c>
      <c r="K69" s="23" t="s">
        <v>1660</v>
      </c>
      <c r="L69" s="23" t="s">
        <v>896</v>
      </c>
      <c r="M69" s="23" t="s">
        <v>1661</v>
      </c>
      <c r="N69" s="24" t="s">
        <v>1362</v>
      </c>
      <c r="O69" s="25" t="s">
        <v>1400</v>
      </c>
    </row>
    <row r="70" spans="1:15" ht="57" customHeight="1">
      <c r="A70" s="23" t="s">
        <v>1031</v>
      </c>
      <c r="B70" s="23" t="s">
        <v>1032</v>
      </c>
      <c r="C70" s="24" t="s">
        <v>1033</v>
      </c>
      <c r="D70" s="23" t="s">
        <v>1658</v>
      </c>
      <c r="E70" s="24" t="s">
        <v>1659</v>
      </c>
      <c r="F70" s="23">
        <v>73</v>
      </c>
      <c r="G70" s="23" t="s">
        <v>157</v>
      </c>
      <c r="H70" s="23" t="s">
        <v>1254</v>
      </c>
      <c r="I70" s="25" t="s">
        <v>120</v>
      </c>
      <c r="J70" s="23" t="s">
        <v>1342</v>
      </c>
      <c r="K70" s="23" t="s">
        <v>1660</v>
      </c>
      <c r="L70" s="23" t="s">
        <v>896</v>
      </c>
      <c r="M70" s="23" t="s">
        <v>1662</v>
      </c>
      <c r="N70" s="23"/>
      <c r="O70" s="25" t="s">
        <v>1400</v>
      </c>
    </row>
    <row r="71" spans="1:15" ht="57" customHeight="1">
      <c r="A71" s="23" t="s">
        <v>890</v>
      </c>
      <c r="B71" s="23" t="s">
        <v>891</v>
      </c>
      <c r="C71" s="24" t="s">
        <v>892</v>
      </c>
      <c r="D71" s="23" t="s">
        <v>1658</v>
      </c>
      <c r="E71" s="24" t="s">
        <v>1659</v>
      </c>
      <c r="F71" s="23">
        <v>48</v>
      </c>
      <c r="G71" s="23" t="s">
        <v>157</v>
      </c>
      <c r="H71" s="23" t="s">
        <v>1254</v>
      </c>
      <c r="I71" s="25" t="s">
        <v>120</v>
      </c>
      <c r="J71" s="23" t="s">
        <v>1342</v>
      </c>
      <c r="K71" s="23" t="s">
        <v>1660</v>
      </c>
      <c r="L71" s="23" t="s">
        <v>896</v>
      </c>
      <c r="M71" s="23" t="s">
        <v>1663</v>
      </c>
      <c r="N71" s="23"/>
      <c r="O71" s="25" t="s">
        <v>1400</v>
      </c>
    </row>
    <row r="72" spans="1:15" ht="57" customHeight="1">
      <c r="A72" s="23" t="s">
        <v>1034</v>
      </c>
      <c r="B72" s="23" t="s">
        <v>1035</v>
      </c>
      <c r="C72" s="24" t="s">
        <v>1036</v>
      </c>
      <c r="D72" s="23" t="s">
        <v>1658</v>
      </c>
      <c r="E72" s="24" t="s">
        <v>1659</v>
      </c>
      <c r="F72" s="23">
        <v>116</v>
      </c>
      <c r="G72" s="23" t="s">
        <v>157</v>
      </c>
      <c r="H72" s="23" t="s">
        <v>1254</v>
      </c>
      <c r="I72" s="25" t="s">
        <v>120</v>
      </c>
      <c r="J72" s="23" t="s">
        <v>1342</v>
      </c>
      <c r="K72" s="23" t="s">
        <v>1660</v>
      </c>
      <c r="L72" s="23" t="s">
        <v>896</v>
      </c>
      <c r="M72" s="23" t="s">
        <v>1664</v>
      </c>
      <c r="N72" s="23"/>
      <c r="O72" s="25" t="s">
        <v>1400</v>
      </c>
    </row>
    <row r="73" spans="1:15" ht="57" customHeight="1">
      <c r="A73" s="23" t="s">
        <v>903</v>
      </c>
      <c r="B73" s="23" t="s">
        <v>904</v>
      </c>
      <c r="C73" s="24" t="s">
        <v>905</v>
      </c>
      <c r="D73" s="23" t="s">
        <v>1658</v>
      </c>
      <c r="E73" s="24" t="s">
        <v>1659</v>
      </c>
      <c r="F73" s="23">
        <v>128</v>
      </c>
      <c r="G73" s="23" t="s">
        <v>157</v>
      </c>
      <c r="H73" s="23" t="s">
        <v>1254</v>
      </c>
      <c r="I73" s="25" t="s">
        <v>120</v>
      </c>
      <c r="J73" s="23" t="s">
        <v>1342</v>
      </c>
      <c r="K73" s="23" t="s">
        <v>1660</v>
      </c>
      <c r="L73" s="23" t="s">
        <v>896</v>
      </c>
      <c r="M73" s="23" t="s">
        <v>1665</v>
      </c>
      <c r="N73" s="23" t="s">
        <v>1343</v>
      </c>
      <c r="O73" s="25" t="s">
        <v>1400</v>
      </c>
    </row>
    <row r="74" spans="1:15" ht="57" customHeight="1">
      <c r="A74" s="23" t="s">
        <v>909</v>
      </c>
      <c r="B74" s="23" t="s">
        <v>910</v>
      </c>
      <c r="C74" s="24" t="s">
        <v>911</v>
      </c>
      <c r="D74" s="23" t="s">
        <v>1666</v>
      </c>
      <c r="E74" s="24" t="s">
        <v>1667</v>
      </c>
      <c r="F74" s="23">
        <v>385</v>
      </c>
      <c r="G74" s="23" t="s">
        <v>283</v>
      </c>
      <c r="H74" s="23" t="s">
        <v>1254</v>
      </c>
      <c r="I74" s="25" t="s">
        <v>120</v>
      </c>
      <c r="J74" s="23" t="s">
        <v>1344</v>
      </c>
      <c r="K74" s="23" t="s">
        <v>1668</v>
      </c>
      <c r="L74" s="23" t="s">
        <v>916</v>
      </c>
      <c r="M74" s="23" t="s">
        <v>1669</v>
      </c>
      <c r="N74" s="23" t="s">
        <v>1345</v>
      </c>
      <c r="O74" s="25" t="s">
        <v>1400</v>
      </c>
    </row>
    <row r="75" spans="1:15" ht="57" customHeight="1">
      <c r="A75" s="23" t="s">
        <v>1045</v>
      </c>
      <c r="B75" s="23" t="s">
        <v>1046</v>
      </c>
      <c r="C75" s="24" t="s">
        <v>1047</v>
      </c>
      <c r="D75" s="23" t="s">
        <v>1670</v>
      </c>
      <c r="E75" s="24" t="s">
        <v>1521</v>
      </c>
      <c r="F75" s="23">
        <v>18</v>
      </c>
      <c r="G75" s="23" t="s">
        <v>646</v>
      </c>
      <c r="H75" s="23" t="s">
        <v>1254</v>
      </c>
      <c r="I75" s="25" t="s">
        <v>120</v>
      </c>
      <c r="J75" s="23" t="s">
        <v>1364</v>
      </c>
      <c r="K75" s="23" t="s">
        <v>1671</v>
      </c>
      <c r="L75" s="23" t="s">
        <v>915</v>
      </c>
      <c r="M75" s="23" t="s">
        <v>1672</v>
      </c>
      <c r="N75" s="23"/>
      <c r="O75" s="25" t="s">
        <v>1400</v>
      </c>
    </row>
    <row r="76" spans="1:15" ht="42.75" customHeight="1">
      <c r="A76" s="23" t="s">
        <v>920</v>
      </c>
      <c r="B76" s="23" t="s">
        <v>921</v>
      </c>
      <c r="C76" s="24" t="s">
        <v>922</v>
      </c>
      <c r="D76" s="23" t="s">
        <v>1673</v>
      </c>
      <c r="E76" s="24" t="s">
        <v>1674</v>
      </c>
      <c r="F76" s="23">
        <v>21</v>
      </c>
      <c r="G76" s="23" t="s">
        <v>462</v>
      </c>
      <c r="H76" s="23" t="s">
        <v>1257</v>
      </c>
      <c r="I76" s="27" t="s">
        <v>149</v>
      </c>
      <c r="J76" s="23" t="s">
        <v>1346</v>
      </c>
      <c r="K76" s="23" t="s">
        <v>1675</v>
      </c>
      <c r="L76" s="23" t="s">
        <v>928</v>
      </c>
      <c r="M76" s="23" t="s">
        <v>1676</v>
      </c>
      <c r="N76" s="24" t="s">
        <v>1347</v>
      </c>
      <c r="O76" s="25" t="s">
        <v>1400</v>
      </c>
    </row>
    <row r="77" spans="1:15" ht="42.75" customHeight="1">
      <c r="A77" s="23" t="s">
        <v>931</v>
      </c>
      <c r="B77" s="23" t="s">
        <v>932</v>
      </c>
      <c r="C77" s="24" t="s">
        <v>933</v>
      </c>
      <c r="D77" s="23" t="s">
        <v>1677</v>
      </c>
      <c r="E77" s="24" t="s">
        <v>1581</v>
      </c>
      <c r="F77" s="23">
        <v>3427</v>
      </c>
      <c r="G77" s="23" t="s">
        <v>249</v>
      </c>
      <c r="H77" s="23" t="s">
        <v>1254</v>
      </c>
      <c r="I77" s="25" t="s">
        <v>120</v>
      </c>
      <c r="J77" s="23" t="s">
        <v>1348</v>
      </c>
      <c r="K77" s="23" t="s">
        <v>1678</v>
      </c>
      <c r="L77" s="23" t="s">
        <v>939</v>
      </c>
      <c r="M77" s="23" t="s">
        <v>1679</v>
      </c>
      <c r="N77" s="24" t="s">
        <v>1349</v>
      </c>
      <c r="O77" s="25" t="s">
        <v>1400</v>
      </c>
    </row>
    <row r="78" spans="1:15" ht="57" customHeight="1">
      <c r="A78" s="23" t="s">
        <v>945</v>
      </c>
      <c r="B78" s="23" t="s">
        <v>946</v>
      </c>
      <c r="C78" s="24" t="s">
        <v>947</v>
      </c>
      <c r="D78" s="23" t="s">
        <v>1680</v>
      </c>
      <c r="E78" s="24" t="s">
        <v>1681</v>
      </c>
      <c r="F78" s="23">
        <v>26</v>
      </c>
      <c r="G78" s="23" t="s">
        <v>163</v>
      </c>
      <c r="H78" s="23" t="s">
        <v>1254</v>
      </c>
      <c r="I78" s="25" t="s">
        <v>120</v>
      </c>
      <c r="J78" s="23" t="s">
        <v>1350</v>
      </c>
      <c r="K78" s="23" t="s">
        <v>1682</v>
      </c>
      <c r="L78" s="23" t="s">
        <v>954</v>
      </c>
      <c r="M78" s="23" t="s">
        <v>1683</v>
      </c>
      <c r="N78" s="23"/>
      <c r="O78" s="25" t="s">
        <v>1400</v>
      </c>
    </row>
    <row r="79" spans="1:15" ht="57" customHeight="1">
      <c r="A79" s="23" t="s">
        <v>960</v>
      </c>
      <c r="B79" s="23" t="s">
        <v>961</v>
      </c>
      <c r="C79" s="24" t="s">
        <v>962</v>
      </c>
      <c r="D79" s="23" t="s">
        <v>967</v>
      </c>
      <c r="E79" s="24" t="s">
        <v>1684</v>
      </c>
      <c r="F79" s="23">
        <v>268</v>
      </c>
      <c r="G79" s="23" t="s">
        <v>445</v>
      </c>
      <c r="H79" s="23" t="s">
        <v>1254</v>
      </c>
      <c r="I79" s="25" t="s">
        <v>120</v>
      </c>
      <c r="J79" s="23" t="s">
        <v>1351</v>
      </c>
      <c r="K79" s="23" t="s">
        <v>1685</v>
      </c>
      <c r="L79" s="23" t="s">
        <v>968</v>
      </c>
      <c r="M79" s="23" t="s">
        <v>1686</v>
      </c>
      <c r="N79" s="23"/>
      <c r="O79" s="25" t="s">
        <v>1400</v>
      </c>
    </row>
    <row r="80" spans="1:15" ht="42.75" customHeight="1">
      <c r="A80" s="23" t="s">
        <v>972</v>
      </c>
      <c r="B80" s="23" t="s">
        <v>973</v>
      </c>
      <c r="C80" s="24" t="s">
        <v>974</v>
      </c>
      <c r="D80" s="23" t="s">
        <v>991</v>
      </c>
      <c r="E80" s="24" t="s">
        <v>1687</v>
      </c>
      <c r="F80" s="23">
        <v>282</v>
      </c>
      <c r="G80" s="23" t="s">
        <v>646</v>
      </c>
      <c r="H80" s="23" t="s">
        <v>1254</v>
      </c>
      <c r="I80" s="25" t="s">
        <v>120</v>
      </c>
      <c r="J80" s="23" t="s">
        <v>1353</v>
      </c>
      <c r="K80" s="23" t="s">
        <v>1682</v>
      </c>
      <c r="L80" s="23" t="s">
        <v>981</v>
      </c>
      <c r="M80" s="23" t="s">
        <v>1688</v>
      </c>
      <c r="N80" s="23" t="s">
        <v>1689</v>
      </c>
      <c r="O80" s="25" t="s">
        <v>1412</v>
      </c>
    </row>
    <row r="81" spans="1:15" ht="42.75" customHeight="1">
      <c r="A81" s="23" t="s">
        <v>972</v>
      </c>
      <c r="B81" s="23" t="s">
        <v>973</v>
      </c>
      <c r="C81" s="24" t="s">
        <v>974</v>
      </c>
      <c r="D81" s="23" t="s">
        <v>1690</v>
      </c>
      <c r="E81" s="24" t="s">
        <v>1691</v>
      </c>
      <c r="F81" s="23">
        <v>407</v>
      </c>
      <c r="G81" s="23" t="s">
        <v>980</v>
      </c>
      <c r="H81" s="23" t="s">
        <v>1254</v>
      </c>
      <c r="I81" s="25" t="s">
        <v>120</v>
      </c>
      <c r="J81" s="23" t="s">
        <v>1353</v>
      </c>
      <c r="K81" s="23" t="s">
        <v>1682</v>
      </c>
      <c r="L81" s="23" t="s">
        <v>981</v>
      </c>
      <c r="M81" s="23" t="s">
        <v>1692</v>
      </c>
      <c r="N81" s="23" t="s">
        <v>1693</v>
      </c>
      <c r="O81" s="23" t="s">
        <v>1400</v>
      </c>
    </row>
    <row r="82" spans="1:15" ht="57" customHeight="1">
      <c r="A82" s="23" t="s">
        <v>984</v>
      </c>
      <c r="B82" s="23" t="s">
        <v>985</v>
      </c>
      <c r="C82" s="24" t="s">
        <v>986</v>
      </c>
      <c r="D82" s="23" t="s">
        <v>1694</v>
      </c>
      <c r="E82" s="24" t="s">
        <v>1687</v>
      </c>
      <c r="F82" s="23">
        <v>958</v>
      </c>
      <c r="G82" s="23" t="s">
        <v>992</v>
      </c>
      <c r="H82" s="23" t="s">
        <v>1355</v>
      </c>
      <c r="I82" s="27" t="s">
        <v>149</v>
      </c>
      <c r="J82" s="23" t="s">
        <v>1356</v>
      </c>
      <c r="K82" s="23" t="s">
        <v>1695</v>
      </c>
      <c r="L82" s="23" t="s">
        <v>990</v>
      </c>
      <c r="M82" s="23" t="s">
        <v>1696</v>
      </c>
      <c r="N82" s="24" t="s">
        <v>1357</v>
      </c>
      <c r="O82" s="25" t="s">
        <v>1400</v>
      </c>
    </row>
    <row r="83" spans="1:15" ht="57" customHeight="1">
      <c r="A83" s="23" t="s">
        <v>999</v>
      </c>
      <c r="B83" s="23" t="s">
        <v>1000</v>
      </c>
      <c r="C83" s="24" t="s">
        <v>1001</v>
      </c>
      <c r="D83" s="23" t="s">
        <v>1697</v>
      </c>
      <c r="E83" s="24" t="s">
        <v>1698</v>
      </c>
      <c r="F83" s="23">
        <v>6</v>
      </c>
      <c r="G83" s="23" t="s">
        <v>175</v>
      </c>
      <c r="H83" s="23" t="s">
        <v>1254</v>
      </c>
      <c r="I83" s="25" t="s">
        <v>120</v>
      </c>
      <c r="J83" s="23" t="s">
        <v>1358</v>
      </c>
      <c r="K83" s="23" t="s">
        <v>1699</v>
      </c>
      <c r="L83" s="23" t="s">
        <v>1008</v>
      </c>
      <c r="M83" s="23" t="s">
        <v>1700</v>
      </c>
      <c r="N83" s="24" t="s">
        <v>1359</v>
      </c>
      <c r="O83" s="25" t="s">
        <v>1400</v>
      </c>
    </row>
    <row r="84" spans="1:15" ht="57" customHeight="1">
      <c r="A84" s="23" t="s">
        <v>1012</v>
      </c>
      <c r="B84" s="23" t="s">
        <v>1013</v>
      </c>
      <c r="C84" s="24" t="s">
        <v>1014</v>
      </c>
      <c r="D84" s="23" t="s">
        <v>1520</v>
      </c>
      <c r="E84" s="24" t="s">
        <v>1521</v>
      </c>
      <c r="F84" s="23">
        <v>16</v>
      </c>
      <c r="G84" s="23" t="s">
        <v>1018</v>
      </c>
      <c r="H84" s="23" t="s">
        <v>1254</v>
      </c>
      <c r="I84" s="27" t="s">
        <v>149</v>
      </c>
      <c r="J84" s="23" t="s">
        <v>1360</v>
      </c>
      <c r="K84" s="23" t="s">
        <v>1701</v>
      </c>
      <c r="L84" s="23" t="s">
        <v>1019</v>
      </c>
      <c r="M84" s="23" t="s">
        <v>1702</v>
      </c>
      <c r="N84" s="23" t="s">
        <v>1361</v>
      </c>
      <c r="O84" s="25" t="s">
        <v>1400</v>
      </c>
    </row>
    <row r="85" spans="1:15" ht="57" customHeight="1">
      <c r="A85" s="23" t="s">
        <v>1037</v>
      </c>
      <c r="B85" s="23" t="s">
        <v>1038</v>
      </c>
      <c r="C85" s="24" t="s">
        <v>1039</v>
      </c>
      <c r="D85" s="23" t="s">
        <v>1703</v>
      </c>
      <c r="E85" s="24" t="s">
        <v>1667</v>
      </c>
      <c r="F85" s="23">
        <v>116</v>
      </c>
      <c r="G85" s="23" t="s">
        <v>148</v>
      </c>
      <c r="H85" s="23" t="s">
        <v>1254</v>
      </c>
      <c r="I85" s="27" t="s">
        <v>149</v>
      </c>
      <c r="J85" s="23" t="s">
        <v>1363</v>
      </c>
      <c r="K85" s="23" t="s">
        <v>1704</v>
      </c>
      <c r="L85" s="23" t="s">
        <v>1042</v>
      </c>
      <c r="M85" s="23" t="s">
        <v>1705</v>
      </c>
      <c r="N85" s="23"/>
      <c r="O85" s="25" t="s">
        <v>1400</v>
      </c>
    </row>
    <row r="86" spans="1:15" ht="57" customHeight="1">
      <c r="A86" s="23" t="s">
        <v>422</v>
      </c>
      <c r="B86" s="23" t="s">
        <v>423</v>
      </c>
      <c r="C86" s="24" t="s">
        <v>424</v>
      </c>
      <c r="D86" s="23" t="s">
        <v>1706</v>
      </c>
      <c r="E86" s="24" t="s">
        <v>1707</v>
      </c>
      <c r="F86" s="23">
        <v>785</v>
      </c>
      <c r="G86" s="23" t="s">
        <v>431</v>
      </c>
      <c r="H86" s="23" t="s">
        <v>1262</v>
      </c>
      <c r="I86" s="27" t="s">
        <v>149</v>
      </c>
      <c r="J86" s="23" t="s">
        <v>1286</v>
      </c>
      <c r="K86" s="23" t="s">
        <v>1708</v>
      </c>
      <c r="L86" s="23" t="s">
        <v>1285</v>
      </c>
      <c r="M86" s="23" t="s">
        <v>1709</v>
      </c>
      <c r="N86" s="24" t="s">
        <v>1710</v>
      </c>
      <c r="O86" s="25" t="s">
        <v>1400</v>
      </c>
    </row>
    <row r="87" spans="1:15" ht="99.75" customHeight="1">
      <c r="A87" s="23" t="s">
        <v>625</v>
      </c>
      <c r="B87" s="23" t="s">
        <v>626</v>
      </c>
      <c r="C87" s="24" t="s">
        <v>627</v>
      </c>
      <c r="D87" s="23" t="s">
        <v>1711</v>
      </c>
      <c r="E87" s="24" t="s">
        <v>1712</v>
      </c>
      <c r="F87" s="23">
        <v>8</v>
      </c>
      <c r="G87" s="23" t="s">
        <v>630</v>
      </c>
      <c r="H87" s="23" t="s">
        <v>1254</v>
      </c>
      <c r="I87" s="25" t="s">
        <v>120</v>
      </c>
      <c r="J87" s="23" t="s">
        <v>1306</v>
      </c>
      <c r="K87" s="23" t="s">
        <v>1713</v>
      </c>
      <c r="L87" s="23" t="s">
        <v>631</v>
      </c>
      <c r="M87" s="23" t="s">
        <v>1714</v>
      </c>
      <c r="N87" s="23" t="s">
        <v>1307</v>
      </c>
      <c r="O87" s="25" t="s">
        <v>1400</v>
      </c>
    </row>
    <row r="88" spans="1:15" ht="42.75" customHeight="1">
      <c r="A88" s="23" t="s">
        <v>634</v>
      </c>
      <c r="B88" s="23" t="s">
        <v>635</v>
      </c>
      <c r="C88" s="24" t="s">
        <v>636</v>
      </c>
      <c r="D88" s="23" t="s">
        <v>1715</v>
      </c>
      <c r="E88" s="24" t="s">
        <v>1716</v>
      </c>
      <c r="F88" s="23">
        <v>8</v>
      </c>
      <c r="G88" s="23" t="s">
        <v>445</v>
      </c>
      <c r="H88" s="23" t="s">
        <v>1254</v>
      </c>
      <c r="I88" s="25" t="s">
        <v>120</v>
      </c>
      <c r="J88" s="23" t="s">
        <v>1308</v>
      </c>
      <c r="K88" s="23" t="s">
        <v>1717</v>
      </c>
      <c r="L88" s="23" t="s">
        <v>642</v>
      </c>
      <c r="M88" s="23" t="s">
        <v>1718</v>
      </c>
      <c r="N88" s="23"/>
      <c r="O88" s="25" t="s">
        <v>1400</v>
      </c>
    </row>
    <row r="89" spans="1:15" ht="42.75" customHeight="1">
      <c r="A89" s="23" t="s">
        <v>634</v>
      </c>
      <c r="B89" s="23" t="s">
        <v>635</v>
      </c>
      <c r="C89" s="24" t="s">
        <v>636</v>
      </c>
      <c r="D89" s="23" t="s">
        <v>1719</v>
      </c>
      <c r="E89" s="24" t="s">
        <v>1720</v>
      </c>
      <c r="F89" s="23">
        <v>18</v>
      </c>
      <c r="G89" s="23" t="s">
        <v>445</v>
      </c>
      <c r="H89" s="23" t="s">
        <v>1254</v>
      </c>
      <c r="I89" s="25" t="s">
        <v>120</v>
      </c>
      <c r="J89" s="23" t="s">
        <v>1308</v>
      </c>
      <c r="K89" s="23" t="s">
        <v>1721</v>
      </c>
      <c r="L89" s="23" t="s">
        <v>642</v>
      </c>
      <c r="M89" s="23" t="s">
        <v>1722</v>
      </c>
      <c r="N89" s="24" t="s">
        <v>1723</v>
      </c>
      <c r="O89" s="23" t="s">
        <v>1412</v>
      </c>
    </row>
    <row r="90" spans="1:15" ht="71.25" customHeight="1">
      <c r="A90" s="23" t="s">
        <v>760</v>
      </c>
      <c r="B90" s="23" t="s">
        <v>761</v>
      </c>
      <c r="C90" s="24" t="s">
        <v>762</v>
      </c>
      <c r="D90" s="23" t="s">
        <v>767</v>
      </c>
      <c r="E90" s="24" t="s">
        <v>1724</v>
      </c>
      <c r="F90" s="23">
        <v>13</v>
      </c>
      <c r="G90" s="23" t="s">
        <v>381</v>
      </c>
      <c r="H90" s="23" t="s">
        <v>1254</v>
      </c>
      <c r="I90" s="25" t="s">
        <v>120</v>
      </c>
      <c r="J90" s="23" t="s">
        <v>1321</v>
      </c>
      <c r="K90" s="45" t="s">
        <v>1725</v>
      </c>
      <c r="L90" s="23" t="s">
        <v>768</v>
      </c>
      <c r="M90" s="23" t="s">
        <v>1726</v>
      </c>
      <c r="N90" s="24" t="s">
        <v>1322</v>
      </c>
      <c r="O90" s="25" t="s">
        <v>1400</v>
      </c>
    </row>
    <row r="91" spans="1:15" ht="85.5" customHeight="1">
      <c r="A91" s="23" t="s">
        <v>760</v>
      </c>
      <c r="B91" s="23" t="s">
        <v>761</v>
      </c>
      <c r="C91" s="24" t="s">
        <v>762</v>
      </c>
      <c r="D91" s="23" t="s">
        <v>1727</v>
      </c>
      <c r="E91" s="24" t="s">
        <v>1728</v>
      </c>
      <c r="F91" s="23">
        <v>7</v>
      </c>
      <c r="G91" s="23" t="s">
        <v>381</v>
      </c>
      <c r="H91" s="23" t="s">
        <v>1355</v>
      </c>
      <c r="I91" s="25" t="s">
        <v>120</v>
      </c>
      <c r="J91" s="23" t="s">
        <v>1321</v>
      </c>
      <c r="K91" s="45" t="s">
        <v>1729</v>
      </c>
      <c r="L91" s="23" t="s">
        <v>1730</v>
      </c>
      <c r="M91" s="23" t="s">
        <v>1731</v>
      </c>
      <c r="N91" s="23"/>
      <c r="O91" s="23" t="s">
        <v>1412</v>
      </c>
    </row>
    <row r="92" spans="1:15" ht="57" customHeight="1">
      <c r="A92" s="23" t="s">
        <v>801</v>
      </c>
      <c r="B92" s="23" t="s">
        <v>802</v>
      </c>
      <c r="C92" s="24" t="s">
        <v>803</v>
      </c>
      <c r="D92" s="23" t="s">
        <v>806</v>
      </c>
      <c r="E92" s="24" t="s">
        <v>1732</v>
      </c>
      <c r="F92" s="23">
        <v>9</v>
      </c>
      <c r="G92" s="23" t="s">
        <v>445</v>
      </c>
      <c r="H92" s="23" t="s">
        <v>1254</v>
      </c>
      <c r="I92" s="27" t="s">
        <v>149</v>
      </c>
      <c r="J92" s="23" t="s">
        <v>1329</v>
      </c>
      <c r="K92" s="23" t="s">
        <v>1733</v>
      </c>
      <c r="L92" s="23" t="s">
        <v>807</v>
      </c>
      <c r="M92" s="23" t="s">
        <v>1734</v>
      </c>
      <c r="N92" s="23"/>
      <c r="O92" s="25" t="s">
        <v>1400</v>
      </c>
    </row>
    <row r="93" spans="1:15" ht="71.25" customHeight="1">
      <c r="A93" s="23" t="s">
        <v>826</v>
      </c>
      <c r="B93" s="23" t="s">
        <v>827</v>
      </c>
      <c r="C93" s="24" t="s">
        <v>828</v>
      </c>
      <c r="D93" s="23" t="s">
        <v>832</v>
      </c>
      <c r="E93" s="24" t="s">
        <v>1735</v>
      </c>
      <c r="F93" s="23">
        <v>13</v>
      </c>
      <c r="G93" s="23" t="s">
        <v>381</v>
      </c>
      <c r="H93" s="23" t="s">
        <v>1254</v>
      </c>
      <c r="I93" s="25" t="s">
        <v>120</v>
      </c>
      <c r="J93" s="23" t="s">
        <v>1332</v>
      </c>
      <c r="K93" s="45" t="s">
        <v>1736</v>
      </c>
      <c r="L93" s="23" t="s">
        <v>833</v>
      </c>
      <c r="M93" s="23" t="s">
        <v>1737</v>
      </c>
      <c r="N93" s="24" t="s">
        <v>1333</v>
      </c>
      <c r="O93" s="25" t="s">
        <v>1400</v>
      </c>
    </row>
    <row r="94" spans="1:15" ht="71.25" customHeight="1">
      <c r="A94" s="23" t="s">
        <v>657</v>
      </c>
      <c r="B94" s="23" t="s">
        <v>658</v>
      </c>
      <c r="C94" s="24" t="s">
        <v>659</v>
      </c>
      <c r="D94" s="23" t="s">
        <v>663</v>
      </c>
      <c r="E94" s="24" t="s">
        <v>1738</v>
      </c>
      <c r="F94" s="23">
        <v>51</v>
      </c>
      <c r="G94" s="23" t="s">
        <v>664</v>
      </c>
      <c r="H94" s="23" t="s">
        <v>1254</v>
      </c>
      <c r="I94" s="27" t="s">
        <v>149</v>
      </c>
      <c r="J94" s="23" t="s">
        <v>1309</v>
      </c>
      <c r="K94" s="23" t="s">
        <v>1739</v>
      </c>
      <c r="L94" s="23" t="s">
        <v>665</v>
      </c>
      <c r="M94" s="23" t="s">
        <v>1740</v>
      </c>
      <c r="N94" s="24" t="s">
        <v>1310</v>
      </c>
      <c r="O94" s="25" t="s">
        <v>1400</v>
      </c>
    </row>
    <row r="95" spans="1:15" ht="71.25" customHeight="1">
      <c r="A95" s="23" t="s">
        <v>746</v>
      </c>
      <c r="B95" s="23" t="s">
        <v>59</v>
      </c>
      <c r="C95" s="24" t="s">
        <v>747</v>
      </c>
      <c r="D95" s="23" t="s">
        <v>1741</v>
      </c>
      <c r="E95" s="24" t="s">
        <v>1742</v>
      </c>
      <c r="F95" s="23">
        <v>5</v>
      </c>
      <c r="G95" s="23" t="s">
        <v>193</v>
      </c>
      <c r="H95" s="23" t="s">
        <v>1257</v>
      </c>
      <c r="I95" s="27" t="s">
        <v>149</v>
      </c>
      <c r="J95" s="24" t="s">
        <v>1319</v>
      </c>
      <c r="K95" s="23" t="s">
        <v>1743</v>
      </c>
      <c r="L95" s="23" t="s">
        <v>753</v>
      </c>
      <c r="M95" s="23" t="s">
        <v>1744</v>
      </c>
      <c r="N95" s="23" t="s">
        <v>1320</v>
      </c>
      <c r="O95" s="25" t="s">
        <v>1400</v>
      </c>
    </row>
    <row r="96" spans="1:15" ht="71.25" customHeight="1">
      <c r="A96" s="23" t="s">
        <v>775</v>
      </c>
      <c r="B96" s="23" t="s">
        <v>776</v>
      </c>
      <c r="C96" s="24" t="s">
        <v>777</v>
      </c>
      <c r="D96" s="23" t="s">
        <v>1745</v>
      </c>
      <c r="E96" s="24" t="s">
        <v>1746</v>
      </c>
      <c r="F96" s="23">
        <v>48</v>
      </c>
      <c r="G96" s="23" t="s">
        <v>779</v>
      </c>
      <c r="H96" s="23" t="s">
        <v>1323</v>
      </c>
      <c r="I96" s="27" t="s">
        <v>149</v>
      </c>
      <c r="J96" s="23" t="s">
        <v>1324</v>
      </c>
      <c r="K96" s="23" t="s">
        <v>1747</v>
      </c>
      <c r="L96" s="23" t="s">
        <v>780</v>
      </c>
      <c r="M96" s="23" t="s">
        <v>1748</v>
      </c>
      <c r="N96" s="24" t="s">
        <v>1325</v>
      </c>
      <c r="O96" s="25" t="s">
        <v>1400</v>
      </c>
    </row>
    <row r="97" spans="1:15" ht="114" customHeight="1">
      <c r="A97" s="23" t="s">
        <v>1049</v>
      </c>
      <c r="B97" s="23" t="s">
        <v>1050</v>
      </c>
      <c r="C97" s="24" t="s">
        <v>1051</v>
      </c>
      <c r="D97" s="23" t="s">
        <v>1749</v>
      </c>
      <c r="E97" s="24" t="s">
        <v>1750</v>
      </c>
      <c r="F97" s="23">
        <v>5346</v>
      </c>
      <c r="G97" s="23" t="s">
        <v>1058</v>
      </c>
      <c r="H97" s="23" t="s">
        <v>1365</v>
      </c>
      <c r="I97" s="25" t="s">
        <v>120</v>
      </c>
      <c r="J97" s="23" t="s">
        <v>1367</v>
      </c>
      <c r="K97" s="23" t="s">
        <v>1751</v>
      </c>
      <c r="L97" s="23" t="s">
        <v>1366</v>
      </c>
      <c r="M97" s="23" t="s">
        <v>1752</v>
      </c>
      <c r="N97" s="24" t="s">
        <v>1753</v>
      </c>
      <c r="O97" s="25" t="s">
        <v>1400</v>
      </c>
    </row>
    <row r="98" spans="1:15" ht="71.25" customHeight="1">
      <c r="A98" s="23" t="s">
        <v>1049</v>
      </c>
      <c r="B98" s="23" t="s">
        <v>1050</v>
      </c>
      <c r="C98" s="24" t="s">
        <v>1051</v>
      </c>
      <c r="D98" s="23" t="s">
        <v>1754</v>
      </c>
      <c r="E98" s="24" t="s">
        <v>1755</v>
      </c>
      <c r="F98" s="23">
        <v>2100</v>
      </c>
      <c r="G98" s="23" t="s">
        <v>1756</v>
      </c>
      <c r="H98" s="23" t="s">
        <v>1757</v>
      </c>
      <c r="I98" s="25" t="s">
        <v>120</v>
      </c>
      <c r="J98" s="23" t="s">
        <v>1367</v>
      </c>
      <c r="K98" s="23" t="s">
        <v>1758</v>
      </c>
      <c r="L98" s="23" t="s">
        <v>1759</v>
      </c>
      <c r="M98" s="23" t="s">
        <v>1760</v>
      </c>
      <c r="N98" s="23"/>
      <c r="O98" s="23" t="s">
        <v>1412</v>
      </c>
    </row>
    <row r="99" spans="1:15" ht="71.25" customHeight="1">
      <c r="A99" s="23" t="s">
        <v>1081</v>
      </c>
      <c r="B99" s="23" t="s">
        <v>1082</v>
      </c>
      <c r="C99" s="24" t="s">
        <v>1083</v>
      </c>
      <c r="D99" s="23" t="s">
        <v>1761</v>
      </c>
      <c r="E99" s="24" t="s">
        <v>1762</v>
      </c>
      <c r="F99" s="23">
        <v>3500</v>
      </c>
      <c r="G99" s="23" t="s">
        <v>646</v>
      </c>
      <c r="H99" s="23" t="s">
        <v>1371</v>
      </c>
      <c r="I99" s="25" t="s">
        <v>120</v>
      </c>
      <c r="J99" s="23" t="s">
        <v>1372</v>
      </c>
      <c r="K99" s="23" t="s">
        <v>1763</v>
      </c>
      <c r="L99" s="23" t="s">
        <v>1090</v>
      </c>
      <c r="M99" s="23" t="s">
        <v>1764</v>
      </c>
      <c r="N99" s="23" t="s">
        <v>1373</v>
      </c>
      <c r="O99" s="25" t="s">
        <v>1400</v>
      </c>
    </row>
    <row r="100" spans="1:15" ht="71.25" customHeight="1">
      <c r="A100" s="23" t="s">
        <v>1125</v>
      </c>
      <c r="B100" s="23" t="s">
        <v>1126</v>
      </c>
      <c r="C100" s="24" t="s">
        <v>1127</v>
      </c>
      <c r="D100" s="23" t="s">
        <v>1765</v>
      </c>
      <c r="E100" s="23" t="s">
        <v>1766</v>
      </c>
      <c r="F100" s="23">
        <v>381</v>
      </c>
      <c r="G100" s="23" t="s">
        <v>349</v>
      </c>
      <c r="H100" s="23" t="s">
        <v>1254</v>
      </c>
      <c r="I100" s="25" t="s">
        <v>120</v>
      </c>
      <c r="J100" s="23" t="s">
        <v>1377</v>
      </c>
      <c r="K100" s="23" t="s">
        <v>1767</v>
      </c>
      <c r="L100" s="23" t="s">
        <v>1131</v>
      </c>
      <c r="M100" s="23" t="s">
        <v>1768</v>
      </c>
      <c r="N100" s="24" t="s">
        <v>1378</v>
      </c>
      <c r="O100" s="25" t="s">
        <v>1400</v>
      </c>
    </row>
    <row r="101" spans="1:15" ht="57" customHeight="1">
      <c r="A101" s="23" t="s">
        <v>1169</v>
      </c>
      <c r="B101" s="23" t="s">
        <v>1170</v>
      </c>
      <c r="C101" s="24" t="s">
        <v>1171</v>
      </c>
      <c r="D101" s="23" t="s">
        <v>1769</v>
      </c>
      <c r="E101" s="24" t="s">
        <v>1770</v>
      </c>
      <c r="F101" s="23">
        <v>16</v>
      </c>
      <c r="G101" s="23" t="s">
        <v>349</v>
      </c>
      <c r="H101" s="23" t="s">
        <v>1254</v>
      </c>
      <c r="I101" s="25" t="s">
        <v>120</v>
      </c>
      <c r="J101" s="23" t="s">
        <v>1382</v>
      </c>
      <c r="K101" s="23" t="s">
        <v>1771</v>
      </c>
      <c r="L101" s="23" t="s">
        <v>1175</v>
      </c>
      <c r="M101" s="23" t="s">
        <v>1772</v>
      </c>
      <c r="N101" s="24" t="s">
        <v>1383</v>
      </c>
      <c r="O101" s="25" t="s">
        <v>1400</v>
      </c>
    </row>
    <row r="102" spans="1:15" ht="42.75" customHeight="1">
      <c r="A102" s="23" t="s">
        <v>1169</v>
      </c>
      <c r="B102" s="23" t="s">
        <v>1170</v>
      </c>
      <c r="C102" s="24" t="s">
        <v>1171</v>
      </c>
      <c r="D102" s="23" t="s">
        <v>1773</v>
      </c>
      <c r="E102" s="24" t="s">
        <v>1774</v>
      </c>
      <c r="F102" s="23">
        <v>50</v>
      </c>
      <c r="G102" s="23" t="s">
        <v>1775</v>
      </c>
      <c r="H102" s="23" t="s">
        <v>1254</v>
      </c>
      <c r="I102" s="25" t="s">
        <v>120</v>
      </c>
      <c r="J102" s="23" t="s">
        <v>1382</v>
      </c>
      <c r="K102" s="23" t="s">
        <v>1776</v>
      </c>
      <c r="L102" s="23" t="s">
        <v>1777</v>
      </c>
      <c r="M102" s="23" t="s">
        <v>1778</v>
      </c>
      <c r="N102" s="23"/>
      <c r="O102" s="23" t="s">
        <v>1412</v>
      </c>
    </row>
    <row r="103" spans="1:15" ht="85.5" customHeight="1">
      <c r="A103" s="23" t="s">
        <v>781</v>
      </c>
      <c r="B103" s="23" t="s">
        <v>782</v>
      </c>
      <c r="C103" s="24" t="s">
        <v>783</v>
      </c>
      <c r="D103" s="23" t="s">
        <v>1779</v>
      </c>
      <c r="E103" s="24" t="s">
        <v>1780</v>
      </c>
      <c r="F103" s="23">
        <v>2</v>
      </c>
      <c r="G103" s="23" t="s">
        <v>381</v>
      </c>
      <c r="H103" s="23" t="s">
        <v>1254</v>
      </c>
      <c r="I103" s="25" t="s">
        <v>120</v>
      </c>
      <c r="J103" s="23" t="s">
        <v>1326</v>
      </c>
      <c r="K103" s="45" t="s">
        <v>1781</v>
      </c>
      <c r="L103" s="23" t="s">
        <v>785</v>
      </c>
      <c r="M103" s="45" t="s">
        <v>1782</v>
      </c>
      <c r="N103" s="24" t="s">
        <v>1327</v>
      </c>
      <c r="O103" s="25" t="s">
        <v>1400</v>
      </c>
    </row>
    <row r="104" spans="1:15" ht="99.75" customHeight="1">
      <c r="A104" s="23" t="s">
        <v>714</v>
      </c>
      <c r="B104" s="23" t="s">
        <v>715</v>
      </c>
      <c r="C104" s="24" t="s">
        <v>716</v>
      </c>
      <c r="D104" s="23" t="s">
        <v>720</v>
      </c>
      <c r="E104" s="24" t="s">
        <v>1783</v>
      </c>
      <c r="F104" s="23">
        <v>3</v>
      </c>
      <c r="G104" s="23" t="s">
        <v>646</v>
      </c>
      <c r="H104" s="23" t="s">
        <v>1254</v>
      </c>
      <c r="I104" s="27" t="s">
        <v>149</v>
      </c>
      <c r="J104" s="23" t="s">
        <v>1317</v>
      </c>
      <c r="K104" s="23" t="s">
        <v>1784</v>
      </c>
      <c r="L104" s="23" t="s">
        <v>721</v>
      </c>
      <c r="M104" s="23" t="s">
        <v>1785</v>
      </c>
      <c r="N104" s="24" t="s">
        <v>1318</v>
      </c>
      <c r="O104" s="25" t="s">
        <v>1400</v>
      </c>
    </row>
  </sheetData>
  <autoFilter ref="A1:O104" xr:uid="{00000000-0009-0000-0000-000003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3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640625" defaultRowHeight="14.25"/>
  <cols>
    <col min="1" max="4" width="14" customWidth="1"/>
    <col min="5" max="5" width="36" customWidth="1"/>
    <col min="6" max="6" width="40" customWidth="1"/>
    <col min="7" max="14" width="14" customWidth="1"/>
    <col min="15" max="15" width="42" customWidth="1"/>
    <col min="16" max="26" width="38" customWidth="1"/>
  </cols>
  <sheetData>
    <row r="1" spans="1:26" ht="36" customHeight="1">
      <c r="A1" s="15" t="s">
        <v>67</v>
      </c>
      <c r="B1" s="15" t="s">
        <v>68</v>
      </c>
      <c r="C1" s="15" t="s">
        <v>69</v>
      </c>
      <c r="D1" s="15" t="s">
        <v>1786</v>
      </c>
      <c r="E1" s="15" t="s">
        <v>1787</v>
      </c>
      <c r="F1" s="15" t="s">
        <v>1788</v>
      </c>
      <c r="G1" s="15" t="s">
        <v>73</v>
      </c>
      <c r="H1" s="15" t="s">
        <v>74</v>
      </c>
      <c r="I1" s="15" t="s">
        <v>1789</v>
      </c>
      <c r="J1" s="15" t="s">
        <v>1790</v>
      </c>
      <c r="K1" s="15" t="s">
        <v>76</v>
      </c>
      <c r="L1" s="15" t="s">
        <v>77</v>
      </c>
      <c r="M1" s="15" t="s">
        <v>1247</v>
      </c>
      <c r="N1" s="15" t="s">
        <v>1393</v>
      </c>
      <c r="O1" s="16" t="s">
        <v>78</v>
      </c>
      <c r="P1" s="16" t="s">
        <v>79</v>
      </c>
      <c r="Q1" s="15" t="s">
        <v>1791</v>
      </c>
      <c r="R1" s="15" t="s">
        <v>1394</v>
      </c>
      <c r="S1" s="15" t="s">
        <v>1792</v>
      </c>
      <c r="T1" s="15" t="s">
        <v>1793</v>
      </c>
      <c r="U1" s="15" t="s">
        <v>1794</v>
      </c>
      <c r="V1" s="15" t="s">
        <v>82</v>
      </c>
      <c r="W1" s="15" t="s">
        <v>83</v>
      </c>
      <c r="X1" s="15" t="s">
        <v>84</v>
      </c>
      <c r="Y1" s="15" t="s">
        <v>85</v>
      </c>
      <c r="Z1" s="15" t="s">
        <v>87</v>
      </c>
    </row>
    <row r="2" spans="1:26" ht="114" customHeight="1">
      <c r="A2" s="23" t="s">
        <v>667</v>
      </c>
      <c r="B2" s="23" t="s">
        <v>668</v>
      </c>
      <c r="C2" s="24" t="s">
        <v>669</v>
      </c>
      <c r="D2" s="44" t="s">
        <v>1795</v>
      </c>
      <c r="E2" s="44" t="s">
        <v>670</v>
      </c>
      <c r="F2" s="23" t="s">
        <v>671</v>
      </c>
      <c r="G2" s="23">
        <v>102700000000</v>
      </c>
      <c r="H2" s="23" t="s">
        <v>672</v>
      </c>
      <c r="I2" s="24" t="s">
        <v>1796</v>
      </c>
      <c r="J2" s="26">
        <v>27.386666666666699</v>
      </c>
      <c r="K2" s="23" t="s">
        <v>288</v>
      </c>
      <c r="L2" s="25" t="s">
        <v>120</v>
      </c>
      <c r="M2" s="23" t="s">
        <v>1797</v>
      </c>
      <c r="N2" s="23" t="s">
        <v>1798</v>
      </c>
      <c r="O2" s="23" t="s">
        <v>673</v>
      </c>
      <c r="P2" s="23" t="s">
        <v>674</v>
      </c>
      <c r="Q2" s="23" t="s">
        <v>1799</v>
      </c>
      <c r="R2" s="23" t="s">
        <v>1800</v>
      </c>
      <c r="S2" s="23" t="s">
        <v>349</v>
      </c>
      <c r="T2" s="23" t="s">
        <v>1801</v>
      </c>
      <c r="U2" s="23" t="s">
        <v>1802</v>
      </c>
      <c r="V2" s="23" t="s">
        <v>123</v>
      </c>
      <c r="W2" s="23" t="s">
        <v>124</v>
      </c>
      <c r="X2" s="23" t="s">
        <v>262</v>
      </c>
      <c r="Y2" s="23" t="s">
        <v>263</v>
      </c>
      <c r="Z2" s="23" t="s">
        <v>128</v>
      </c>
    </row>
    <row r="3" spans="1:26" ht="99.75" customHeight="1">
      <c r="A3" s="23" t="s">
        <v>35</v>
      </c>
      <c r="B3" s="23" t="s">
        <v>684</v>
      </c>
      <c r="C3" s="24" t="s">
        <v>685</v>
      </c>
      <c r="D3" s="46" t="s">
        <v>1803</v>
      </c>
      <c r="E3" s="46" t="s">
        <v>686</v>
      </c>
      <c r="F3" s="23" t="s">
        <v>687</v>
      </c>
      <c r="G3" s="23">
        <v>567900000000</v>
      </c>
      <c r="H3" s="23" t="s">
        <v>688</v>
      </c>
      <c r="I3" s="24" t="s">
        <v>1804</v>
      </c>
      <c r="J3" s="26">
        <v>154.63580667120499</v>
      </c>
      <c r="K3" s="23" t="s">
        <v>148</v>
      </c>
      <c r="L3" s="25" t="s">
        <v>120</v>
      </c>
      <c r="M3" s="23" t="s">
        <v>1313</v>
      </c>
      <c r="N3" s="23" t="s">
        <v>1805</v>
      </c>
      <c r="O3" s="23" t="s">
        <v>689</v>
      </c>
      <c r="P3" s="23" t="s">
        <v>690</v>
      </c>
      <c r="Q3" s="23" t="s">
        <v>1799</v>
      </c>
      <c r="R3" s="23" t="s">
        <v>1806</v>
      </c>
      <c r="S3" s="23" t="s">
        <v>349</v>
      </c>
      <c r="T3" s="23" t="s">
        <v>1801</v>
      </c>
      <c r="U3" s="24" t="s">
        <v>1807</v>
      </c>
      <c r="V3" s="23" t="s">
        <v>123</v>
      </c>
      <c r="W3" s="23" t="s">
        <v>124</v>
      </c>
      <c r="X3" s="23" t="s">
        <v>262</v>
      </c>
      <c r="Y3" s="23" t="s">
        <v>263</v>
      </c>
      <c r="Z3" s="23" t="s">
        <v>128</v>
      </c>
    </row>
    <row r="4" spans="1:26" ht="85.5" customHeight="1">
      <c r="A4" s="23" t="s">
        <v>112</v>
      </c>
      <c r="B4" s="23" t="s">
        <v>113</v>
      </c>
      <c r="C4" s="24" t="s">
        <v>114</v>
      </c>
      <c r="D4" s="44" t="s">
        <v>1795</v>
      </c>
      <c r="E4" s="44" t="s">
        <v>116</v>
      </c>
      <c r="F4" s="23" t="s">
        <v>117</v>
      </c>
      <c r="G4" s="23">
        <v>48387440000000</v>
      </c>
      <c r="H4" s="23" t="s">
        <v>118</v>
      </c>
      <c r="I4" s="23" t="s">
        <v>1808</v>
      </c>
      <c r="J4" s="26">
        <v>508.59196972882103</v>
      </c>
      <c r="K4" s="23" t="s">
        <v>119</v>
      </c>
      <c r="L4" s="25" t="s">
        <v>120</v>
      </c>
      <c r="M4" s="23" t="s">
        <v>1249</v>
      </c>
      <c r="N4" s="23" t="s">
        <v>1809</v>
      </c>
      <c r="O4" s="23" t="s">
        <v>121</v>
      </c>
      <c r="P4" s="23"/>
      <c r="Q4" s="23" t="s">
        <v>1810</v>
      </c>
      <c r="R4" s="23" t="s">
        <v>1811</v>
      </c>
      <c r="S4" s="23" t="s">
        <v>349</v>
      </c>
      <c r="T4" s="23" t="s">
        <v>1801</v>
      </c>
      <c r="U4" s="24" t="s">
        <v>1812</v>
      </c>
      <c r="V4" s="23" t="s">
        <v>123</v>
      </c>
      <c r="W4" s="23" t="s">
        <v>124</v>
      </c>
      <c r="X4" s="23" t="s">
        <v>125</v>
      </c>
      <c r="Y4" s="23" t="s">
        <v>126</v>
      </c>
      <c r="Z4" s="23" t="s">
        <v>128</v>
      </c>
    </row>
    <row r="5" spans="1:26" ht="85.5" customHeight="1">
      <c r="A5" s="23" t="s">
        <v>112</v>
      </c>
      <c r="B5" s="23" t="s">
        <v>113</v>
      </c>
      <c r="C5" s="24" t="s">
        <v>114</v>
      </c>
      <c r="D5" s="44" t="s">
        <v>1795</v>
      </c>
      <c r="E5" s="44" t="s">
        <v>1813</v>
      </c>
      <c r="F5" s="23" t="s">
        <v>1814</v>
      </c>
      <c r="G5" s="23">
        <v>18388970000000</v>
      </c>
      <c r="H5" s="23" t="s">
        <v>118</v>
      </c>
      <c r="I5" s="23" t="s">
        <v>1808</v>
      </c>
      <c r="J5" s="26">
        <v>193.283266764768</v>
      </c>
      <c r="K5" s="23" t="s">
        <v>222</v>
      </c>
      <c r="L5" s="25" t="s">
        <v>120</v>
      </c>
      <c r="M5" s="23" t="s">
        <v>1249</v>
      </c>
      <c r="N5" s="23" t="s">
        <v>1815</v>
      </c>
      <c r="O5" s="23" t="s">
        <v>121</v>
      </c>
      <c r="P5" s="23"/>
      <c r="Q5" s="23" t="s">
        <v>1810</v>
      </c>
      <c r="R5" s="23" t="s">
        <v>1816</v>
      </c>
      <c r="S5" s="23" t="s">
        <v>349</v>
      </c>
      <c r="T5" s="23" t="s">
        <v>1801</v>
      </c>
      <c r="U5" s="24" t="s">
        <v>1817</v>
      </c>
      <c r="V5" s="23" t="s">
        <v>123</v>
      </c>
      <c r="W5" s="23" t="s">
        <v>124</v>
      </c>
      <c r="X5" s="23" t="s">
        <v>125</v>
      </c>
      <c r="Y5" s="23" t="s">
        <v>126</v>
      </c>
      <c r="Z5" s="23" t="s">
        <v>128</v>
      </c>
    </row>
    <row r="6" spans="1:26" ht="71.25" customHeight="1">
      <c r="A6" s="23" t="s">
        <v>251</v>
      </c>
      <c r="B6" s="23" t="s">
        <v>252</v>
      </c>
      <c r="C6" s="24" t="s">
        <v>253</v>
      </c>
      <c r="D6" s="42" t="s">
        <v>1818</v>
      </c>
      <c r="E6" s="42" t="s">
        <v>254</v>
      </c>
      <c r="F6" s="23" t="s">
        <v>255</v>
      </c>
      <c r="G6" s="23">
        <v>8487400000000</v>
      </c>
      <c r="H6" s="23" t="s">
        <v>256</v>
      </c>
      <c r="I6" s="24" t="s">
        <v>1819</v>
      </c>
      <c r="J6" s="26">
        <v>53.908790650406502</v>
      </c>
      <c r="K6" s="23" t="s">
        <v>131</v>
      </c>
      <c r="L6" s="25" t="s">
        <v>120</v>
      </c>
      <c r="M6" s="23" t="s">
        <v>1266</v>
      </c>
      <c r="N6" s="24" t="s">
        <v>1820</v>
      </c>
      <c r="O6" s="23" t="s">
        <v>257</v>
      </c>
      <c r="P6" s="23" t="s">
        <v>258</v>
      </c>
      <c r="Q6" s="23" t="s">
        <v>1799</v>
      </c>
      <c r="R6" s="24" t="s">
        <v>1821</v>
      </c>
      <c r="S6" s="23" t="s">
        <v>349</v>
      </c>
      <c r="T6" s="23" t="s">
        <v>1801</v>
      </c>
      <c r="U6" s="23" t="s">
        <v>1282</v>
      </c>
      <c r="V6" s="23" t="s">
        <v>260</v>
      </c>
      <c r="W6" s="23" t="s">
        <v>261</v>
      </c>
      <c r="X6" s="23" t="s">
        <v>262</v>
      </c>
      <c r="Y6" s="23" t="s">
        <v>263</v>
      </c>
      <c r="Z6" s="23" t="s">
        <v>264</v>
      </c>
    </row>
    <row r="7" spans="1:26" ht="85.5" customHeight="1">
      <c r="A7" s="23" t="s">
        <v>183</v>
      </c>
      <c r="B7" s="23" t="s">
        <v>184</v>
      </c>
      <c r="C7" s="24" t="s">
        <v>185</v>
      </c>
      <c r="D7" s="42" t="s">
        <v>1818</v>
      </c>
      <c r="E7" s="42" t="s">
        <v>186</v>
      </c>
      <c r="F7" s="23" t="s">
        <v>187</v>
      </c>
      <c r="G7" s="23">
        <v>643446000000</v>
      </c>
      <c r="H7" s="23" t="s">
        <v>188</v>
      </c>
      <c r="I7" s="23" t="s">
        <v>1822</v>
      </c>
      <c r="J7" s="26">
        <v>19.345941070354801</v>
      </c>
      <c r="K7" s="23" t="s">
        <v>189</v>
      </c>
      <c r="L7" s="25" t="s">
        <v>120</v>
      </c>
      <c r="M7" s="23" t="s">
        <v>1258</v>
      </c>
      <c r="N7" s="23" t="s">
        <v>1823</v>
      </c>
      <c r="O7" s="23" t="s">
        <v>190</v>
      </c>
      <c r="P7" s="23"/>
      <c r="Q7" s="23" t="s">
        <v>1824</v>
      </c>
      <c r="R7" s="23" t="s">
        <v>1825</v>
      </c>
      <c r="S7" s="23" t="s">
        <v>349</v>
      </c>
      <c r="T7" s="23" t="s">
        <v>1801</v>
      </c>
      <c r="U7" s="23" t="s">
        <v>1826</v>
      </c>
      <c r="V7" s="23" t="s">
        <v>123</v>
      </c>
      <c r="W7" s="23" t="s">
        <v>124</v>
      </c>
      <c r="X7" s="23" t="s">
        <v>152</v>
      </c>
      <c r="Y7" s="23" t="s">
        <v>153</v>
      </c>
      <c r="Z7" s="23" t="s">
        <v>128</v>
      </c>
    </row>
    <row r="8" spans="1:26" ht="99.75" customHeight="1">
      <c r="A8" s="23" t="s">
        <v>142</v>
      </c>
      <c r="B8" s="23" t="s">
        <v>143</v>
      </c>
      <c r="C8" s="24" t="s">
        <v>144</v>
      </c>
      <c r="D8" s="42" t="s">
        <v>1818</v>
      </c>
      <c r="E8" s="42" t="s">
        <v>145</v>
      </c>
      <c r="F8" s="23" t="s">
        <v>146</v>
      </c>
      <c r="G8" s="23">
        <v>1430000000000</v>
      </c>
      <c r="H8" s="23" t="s">
        <v>147</v>
      </c>
      <c r="I8" s="23" t="s">
        <v>1827</v>
      </c>
      <c r="J8" s="26">
        <v>211.85185185185199</v>
      </c>
      <c r="K8" s="23" t="s">
        <v>148</v>
      </c>
      <c r="L8" s="27" t="s">
        <v>149</v>
      </c>
      <c r="M8" s="24" t="s">
        <v>1828</v>
      </c>
      <c r="N8" s="23" t="s">
        <v>1829</v>
      </c>
      <c r="O8" s="23" t="s">
        <v>150</v>
      </c>
      <c r="P8" s="23"/>
      <c r="Q8" s="23" t="s">
        <v>1830</v>
      </c>
      <c r="R8" s="23" t="s">
        <v>1831</v>
      </c>
      <c r="S8" s="23" t="s">
        <v>349</v>
      </c>
      <c r="T8" s="23" t="s">
        <v>1801</v>
      </c>
      <c r="U8" s="23" t="s">
        <v>1832</v>
      </c>
      <c r="V8" s="23" t="s">
        <v>123</v>
      </c>
      <c r="W8" s="23" t="s">
        <v>124</v>
      </c>
      <c r="X8" s="23" t="s">
        <v>152</v>
      </c>
      <c r="Y8" s="23" t="s">
        <v>153</v>
      </c>
      <c r="Z8" s="23" t="s">
        <v>128</v>
      </c>
    </row>
    <row r="9" spans="1:26" ht="71.25" customHeight="1">
      <c r="A9" s="23" t="s">
        <v>165</v>
      </c>
      <c r="B9" s="23" t="s">
        <v>166</v>
      </c>
      <c r="C9" s="24" t="s">
        <v>167</v>
      </c>
      <c r="D9" s="44" t="s">
        <v>1795</v>
      </c>
      <c r="E9" s="44" t="s">
        <v>168</v>
      </c>
      <c r="F9" s="23" t="s">
        <v>169</v>
      </c>
      <c r="G9" s="23">
        <v>101030000000000</v>
      </c>
      <c r="H9" s="23" t="s">
        <v>170</v>
      </c>
      <c r="I9" s="23" t="s">
        <v>1833</v>
      </c>
      <c r="J9" s="26">
        <v>5.6240258294366496</v>
      </c>
      <c r="K9" s="23" t="s">
        <v>171</v>
      </c>
      <c r="L9" s="25" t="s">
        <v>120</v>
      </c>
      <c r="M9" s="23" t="s">
        <v>1255</v>
      </c>
      <c r="N9" s="23" t="s">
        <v>1834</v>
      </c>
      <c r="O9" s="23" t="s">
        <v>172</v>
      </c>
      <c r="P9" s="23"/>
      <c r="Q9" s="23" t="s">
        <v>1835</v>
      </c>
      <c r="R9" s="23" t="s">
        <v>1836</v>
      </c>
      <c r="S9" s="23" t="s">
        <v>349</v>
      </c>
      <c r="T9" s="23" t="s">
        <v>1801</v>
      </c>
      <c r="U9" s="24" t="s">
        <v>1837</v>
      </c>
      <c r="V9" s="23" t="s">
        <v>123</v>
      </c>
      <c r="W9" s="23" t="s">
        <v>124</v>
      </c>
      <c r="X9" s="23" t="s">
        <v>152</v>
      </c>
      <c r="Y9" s="23" t="s">
        <v>153</v>
      </c>
      <c r="Z9" s="23" t="s">
        <v>128</v>
      </c>
    </row>
    <row r="10" spans="1:26" ht="85.5" customHeight="1">
      <c r="A10" s="23" t="s">
        <v>407</v>
      </c>
      <c r="B10" s="23" t="s">
        <v>408</v>
      </c>
      <c r="C10" s="24" t="s">
        <v>409</v>
      </c>
      <c r="D10" s="46" t="s">
        <v>1803</v>
      </c>
      <c r="E10" s="46" t="s">
        <v>1838</v>
      </c>
      <c r="F10" s="23" t="s">
        <v>1839</v>
      </c>
      <c r="G10" s="23">
        <v>2438800000000</v>
      </c>
      <c r="H10" s="23" t="s">
        <v>412</v>
      </c>
      <c r="I10" s="24" t="s">
        <v>1840</v>
      </c>
      <c r="J10" s="26">
        <v>135.48888888888899</v>
      </c>
      <c r="K10" s="23" t="s">
        <v>193</v>
      </c>
      <c r="L10" s="25" t="s">
        <v>120</v>
      </c>
      <c r="M10" s="23" t="s">
        <v>1283</v>
      </c>
      <c r="N10" s="23" t="s">
        <v>1841</v>
      </c>
      <c r="O10" s="23" t="s">
        <v>413</v>
      </c>
      <c r="P10" s="23" t="s">
        <v>414</v>
      </c>
      <c r="Q10" s="23" t="s">
        <v>1799</v>
      </c>
      <c r="R10" s="23" t="s">
        <v>1842</v>
      </c>
      <c r="S10" s="23" t="s">
        <v>349</v>
      </c>
      <c r="T10" s="23" t="s">
        <v>1801</v>
      </c>
      <c r="U10" s="23" t="s">
        <v>1843</v>
      </c>
      <c r="V10" s="23" t="s">
        <v>123</v>
      </c>
      <c r="W10" s="23" t="s">
        <v>124</v>
      </c>
      <c r="X10" s="23" t="s">
        <v>152</v>
      </c>
      <c r="Y10" s="23" t="s">
        <v>153</v>
      </c>
      <c r="Z10" s="23" t="s">
        <v>128</v>
      </c>
    </row>
    <row r="11" spans="1:26" ht="85.5" customHeight="1">
      <c r="A11" s="23" t="s">
        <v>407</v>
      </c>
      <c r="B11" s="23" t="s">
        <v>408</v>
      </c>
      <c r="C11" s="24" t="s">
        <v>409</v>
      </c>
      <c r="D11" s="44" t="s">
        <v>1795</v>
      </c>
      <c r="E11" s="44" t="s">
        <v>410</v>
      </c>
      <c r="F11" s="23" t="s">
        <v>411</v>
      </c>
      <c r="G11" s="23">
        <v>185826000000</v>
      </c>
      <c r="H11" s="23" t="s">
        <v>412</v>
      </c>
      <c r="I11" s="23" t="s">
        <v>1844</v>
      </c>
      <c r="J11" s="26">
        <v>10.3236666666667</v>
      </c>
      <c r="K11" s="23" t="s">
        <v>193</v>
      </c>
      <c r="L11" s="25" t="s">
        <v>120</v>
      </c>
      <c r="M11" s="23" t="s">
        <v>1283</v>
      </c>
      <c r="N11" s="23" t="s">
        <v>1845</v>
      </c>
      <c r="O11" s="23" t="s">
        <v>413</v>
      </c>
      <c r="P11" s="23" t="s">
        <v>414</v>
      </c>
      <c r="Q11" s="23" t="s">
        <v>1799</v>
      </c>
      <c r="R11" s="23" t="s">
        <v>1846</v>
      </c>
      <c r="S11" s="23" t="s">
        <v>349</v>
      </c>
      <c r="T11" s="23" t="s">
        <v>1801</v>
      </c>
      <c r="U11" s="23" t="s">
        <v>1847</v>
      </c>
      <c r="V11" s="23" t="s">
        <v>123</v>
      </c>
      <c r="W11" s="23" t="s">
        <v>124</v>
      </c>
      <c r="X11" s="23" t="s">
        <v>152</v>
      </c>
      <c r="Y11" s="23" t="s">
        <v>153</v>
      </c>
      <c r="Z11" s="23" t="s">
        <v>128</v>
      </c>
    </row>
    <row r="12" spans="1:26" ht="71.25" customHeight="1">
      <c r="A12" s="23" t="s">
        <v>611</v>
      </c>
      <c r="B12" s="23" t="s">
        <v>612</v>
      </c>
      <c r="C12" s="24" t="s">
        <v>613</v>
      </c>
      <c r="D12" s="42" t="s">
        <v>1818</v>
      </c>
      <c r="E12" s="42" t="s">
        <v>614</v>
      </c>
      <c r="F12" s="23" t="s">
        <v>615</v>
      </c>
      <c r="G12" s="23">
        <v>99000000000</v>
      </c>
      <c r="H12" s="23" t="s">
        <v>616</v>
      </c>
      <c r="I12" s="23" t="s">
        <v>1848</v>
      </c>
      <c r="J12" s="26">
        <v>10.1020408163265</v>
      </c>
      <c r="K12" s="23" t="s">
        <v>148</v>
      </c>
      <c r="L12" s="25" t="s">
        <v>120</v>
      </c>
      <c r="M12" s="23" t="s">
        <v>1305</v>
      </c>
      <c r="N12" s="23" t="s">
        <v>1849</v>
      </c>
      <c r="O12" s="23" t="s">
        <v>617</v>
      </c>
      <c r="P12" s="23" t="s">
        <v>618</v>
      </c>
      <c r="Q12" s="23" t="s">
        <v>1799</v>
      </c>
      <c r="R12" s="23" t="s">
        <v>1850</v>
      </c>
      <c r="S12" s="23" t="s">
        <v>349</v>
      </c>
      <c r="T12" s="23" t="s">
        <v>1801</v>
      </c>
      <c r="U12" s="23" t="s">
        <v>1851</v>
      </c>
      <c r="V12" s="23" t="s">
        <v>123</v>
      </c>
      <c r="W12" s="23" t="s">
        <v>124</v>
      </c>
      <c r="X12" s="23" t="s">
        <v>125</v>
      </c>
      <c r="Y12" s="23" t="s">
        <v>126</v>
      </c>
      <c r="Z12" s="23" t="s">
        <v>128</v>
      </c>
    </row>
    <row r="13" spans="1:26" ht="85.5" customHeight="1">
      <c r="A13" s="23" t="s">
        <v>611</v>
      </c>
      <c r="B13" s="23" t="s">
        <v>612</v>
      </c>
      <c r="C13" s="24" t="s">
        <v>613</v>
      </c>
      <c r="D13" s="46" t="s">
        <v>1803</v>
      </c>
      <c r="E13" s="46" t="s">
        <v>1852</v>
      </c>
      <c r="F13" s="23" t="s">
        <v>1853</v>
      </c>
      <c r="G13" s="23">
        <v>183000000000</v>
      </c>
      <c r="H13" s="23" t="s">
        <v>616</v>
      </c>
      <c r="I13" s="23" t="s">
        <v>1848</v>
      </c>
      <c r="J13" s="26">
        <v>18.673469387755102</v>
      </c>
      <c r="K13" s="23" t="s">
        <v>148</v>
      </c>
      <c r="L13" s="25" t="s">
        <v>120</v>
      </c>
      <c r="M13" s="23" t="s">
        <v>1305</v>
      </c>
      <c r="N13" s="23" t="s">
        <v>1854</v>
      </c>
      <c r="O13" s="23" t="s">
        <v>617</v>
      </c>
      <c r="P13" s="23" t="s">
        <v>618</v>
      </c>
      <c r="Q13" s="23" t="s">
        <v>1799</v>
      </c>
      <c r="R13" s="23" t="s">
        <v>1855</v>
      </c>
      <c r="S13" s="23" t="s">
        <v>349</v>
      </c>
      <c r="T13" s="23" t="s">
        <v>1801</v>
      </c>
      <c r="U13" s="24" t="s">
        <v>1856</v>
      </c>
      <c r="V13" s="23" t="s">
        <v>123</v>
      </c>
      <c r="W13" s="23" t="s">
        <v>124</v>
      </c>
      <c r="X13" s="23" t="s">
        <v>125</v>
      </c>
      <c r="Y13" s="23" t="s">
        <v>126</v>
      </c>
      <c r="Z13" s="23" t="s">
        <v>128</v>
      </c>
    </row>
    <row r="14" spans="1:26" ht="156.75" customHeight="1">
      <c r="A14" s="23" t="s">
        <v>389</v>
      </c>
      <c r="B14" s="23" t="s">
        <v>390</v>
      </c>
      <c r="C14" s="24" t="s">
        <v>391</v>
      </c>
      <c r="D14" s="42" t="s">
        <v>1818</v>
      </c>
      <c r="E14" s="42" t="s">
        <v>392</v>
      </c>
      <c r="F14" s="23" t="s">
        <v>393</v>
      </c>
      <c r="G14" s="23">
        <v>76800000000</v>
      </c>
      <c r="H14" s="23" t="s">
        <v>394</v>
      </c>
      <c r="I14" s="23" t="s">
        <v>1857</v>
      </c>
      <c r="J14" s="26">
        <v>0.59410536087259203</v>
      </c>
      <c r="K14" s="23" t="s">
        <v>193</v>
      </c>
      <c r="L14" s="25" t="s">
        <v>120</v>
      </c>
      <c r="M14" s="23" t="s">
        <v>1858</v>
      </c>
      <c r="N14" s="23" t="s">
        <v>1859</v>
      </c>
      <c r="O14" s="23" t="s">
        <v>395</v>
      </c>
      <c r="P14" s="23" t="s">
        <v>396</v>
      </c>
      <c r="Q14" s="23" t="s">
        <v>1799</v>
      </c>
      <c r="R14" s="23" t="s">
        <v>1860</v>
      </c>
      <c r="S14" s="23" t="s">
        <v>349</v>
      </c>
      <c r="T14" s="23" t="s">
        <v>1801</v>
      </c>
      <c r="U14" s="24" t="s">
        <v>1861</v>
      </c>
      <c r="V14" s="23" t="s">
        <v>123</v>
      </c>
      <c r="W14" s="23" t="s">
        <v>124</v>
      </c>
      <c r="X14" s="23" t="s">
        <v>125</v>
      </c>
      <c r="Y14" s="23" t="s">
        <v>126</v>
      </c>
      <c r="Z14" s="23" t="s">
        <v>128</v>
      </c>
    </row>
    <row r="15" spans="1:26" ht="85.5" customHeight="1">
      <c r="A15" s="23" t="s">
        <v>786</v>
      </c>
      <c r="B15" s="23" t="s">
        <v>787</v>
      </c>
      <c r="C15" s="24" t="s">
        <v>788</v>
      </c>
      <c r="D15" s="42" t="s">
        <v>1818</v>
      </c>
      <c r="E15" s="42" t="s">
        <v>789</v>
      </c>
      <c r="F15" s="23" t="s">
        <v>790</v>
      </c>
      <c r="G15" s="23">
        <v>43600000000</v>
      </c>
      <c r="H15" s="23" t="s">
        <v>791</v>
      </c>
      <c r="I15" s="23" t="s">
        <v>1862</v>
      </c>
      <c r="J15" s="26">
        <v>13.2121212121212</v>
      </c>
      <c r="K15" s="23" t="s">
        <v>288</v>
      </c>
      <c r="L15" s="25" t="s">
        <v>120</v>
      </c>
      <c r="M15" s="23" t="s">
        <v>1863</v>
      </c>
      <c r="N15" s="23" t="s">
        <v>1864</v>
      </c>
      <c r="O15" s="23" t="s">
        <v>792</v>
      </c>
      <c r="P15" s="23" t="s">
        <v>793</v>
      </c>
      <c r="Q15" s="23" t="s">
        <v>1799</v>
      </c>
      <c r="R15" s="23" t="s">
        <v>1865</v>
      </c>
      <c r="S15" s="23" t="s">
        <v>349</v>
      </c>
      <c r="T15" s="23" t="s">
        <v>1801</v>
      </c>
      <c r="U15" s="23" t="s">
        <v>1282</v>
      </c>
      <c r="V15" s="23" t="s">
        <v>260</v>
      </c>
      <c r="W15" s="23" t="s">
        <v>261</v>
      </c>
      <c r="X15" s="23" t="s">
        <v>262</v>
      </c>
      <c r="Y15" s="23" t="s">
        <v>263</v>
      </c>
      <c r="Z15" s="23" t="s">
        <v>264</v>
      </c>
    </row>
    <row r="16" spans="1:26" ht="57" customHeight="1">
      <c r="A16" s="23" t="s">
        <v>199</v>
      </c>
      <c r="B16" s="23" t="s">
        <v>200</v>
      </c>
      <c r="C16" s="24" t="s">
        <v>201</v>
      </c>
      <c r="D16" s="46" t="s">
        <v>1803</v>
      </c>
      <c r="E16" s="46" t="s">
        <v>202</v>
      </c>
      <c r="F16" s="23" t="s">
        <v>203</v>
      </c>
      <c r="G16" s="23">
        <v>120580070000</v>
      </c>
      <c r="H16" s="23" t="s">
        <v>204</v>
      </c>
      <c r="I16" s="23" t="s">
        <v>1866</v>
      </c>
      <c r="J16" s="26">
        <v>29.4097731707317</v>
      </c>
      <c r="K16" s="23" t="s">
        <v>189</v>
      </c>
      <c r="L16" s="25" t="s">
        <v>120</v>
      </c>
      <c r="M16" s="23" t="s">
        <v>1260</v>
      </c>
      <c r="N16" s="23" t="s">
        <v>1867</v>
      </c>
      <c r="O16" s="23" t="s">
        <v>205</v>
      </c>
      <c r="P16" s="23"/>
      <c r="Q16" s="23" t="s">
        <v>1868</v>
      </c>
      <c r="R16" s="23" t="s">
        <v>1869</v>
      </c>
      <c r="S16" s="23" t="s">
        <v>349</v>
      </c>
      <c r="T16" s="23" t="s">
        <v>1801</v>
      </c>
      <c r="U16" s="24" t="s">
        <v>1870</v>
      </c>
      <c r="V16" s="23" t="s">
        <v>123</v>
      </c>
      <c r="W16" s="23" t="s">
        <v>124</v>
      </c>
      <c r="X16" s="23" t="s">
        <v>152</v>
      </c>
      <c r="Y16" s="23" t="s">
        <v>153</v>
      </c>
      <c r="Z16" s="23" t="s">
        <v>128</v>
      </c>
    </row>
    <row r="17" spans="1:26" ht="57" customHeight="1">
      <c r="A17" s="23" t="s">
        <v>274</v>
      </c>
      <c r="B17" s="23" t="s">
        <v>275</v>
      </c>
      <c r="C17" s="24" t="s">
        <v>276</v>
      </c>
      <c r="D17" s="46" t="s">
        <v>1803</v>
      </c>
      <c r="E17" s="46" t="s">
        <v>277</v>
      </c>
      <c r="F17" s="23" t="s">
        <v>278</v>
      </c>
      <c r="G17" s="23">
        <v>687200000000000</v>
      </c>
      <c r="H17" s="23" t="s">
        <v>279</v>
      </c>
      <c r="I17" s="23" t="s">
        <v>1871</v>
      </c>
      <c r="J17" s="26">
        <v>497.97101449275402</v>
      </c>
      <c r="K17" s="23" t="s">
        <v>171</v>
      </c>
      <c r="L17" s="25" t="s">
        <v>120</v>
      </c>
      <c r="M17" s="23" t="s">
        <v>1872</v>
      </c>
      <c r="N17" s="23" t="s">
        <v>1873</v>
      </c>
      <c r="O17" s="23" t="s">
        <v>280</v>
      </c>
      <c r="P17" s="23"/>
      <c r="Q17" s="23" t="s">
        <v>1835</v>
      </c>
      <c r="R17" s="23" t="s">
        <v>1874</v>
      </c>
      <c r="S17" s="23" t="s">
        <v>349</v>
      </c>
      <c r="T17" s="23" t="s">
        <v>1801</v>
      </c>
      <c r="U17" s="24" t="s">
        <v>1875</v>
      </c>
      <c r="V17" s="23" t="s">
        <v>260</v>
      </c>
      <c r="W17" s="23" t="s">
        <v>261</v>
      </c>
      <c r="X17" s="23" t="s">
        <v>262</v>
      </c>
      <c r="Y17" s="23" t="s">
        <v>263</v>
      </c>
      <c r="Z17" s="23" t="s">
        <v>264</v>
      </c>
    </row>
    <row r="18" spans="1:26" ht="71.25" customHeight="1">
      <c r="A18" s="23" t="s">
        <v>292</v>
      </c>
      <c r="B18" s="23" t="s">
        <v>57</v>
      </c>
      <c r="C18" s="24" t="s">
        <v>293</v>
      </c>
      <c r="D18" s="46" t="s">
        <v>1803</v>
      </c>
      <c r="E18" s="46" t="s">
        <v>294</v>
      </c>
      <c r="F18" s="23" t="s">
        <v>295</v>
      </c>
      <c r="G18" s="23">
        <v>1999776000000</v>
      </c>
      <c r="H18" s="23" t="s">
        <v>296</v>
      </c>
      <c r="I18" s="23" t="s">
        <v>1876</v>
      </c>
      <c r="J18" s="26">
        <v>61.5315692307692</v>
      </c>
      <c r="K18" s="23" t="s">
        <v>189</v>
      </c>
      <c r="L18" s="25" t="s">
        <v>120</v>
      </c>
      <c r="M18" s="23" t="s">
        <v>1877</v>
      </c>
      <c r="N18" s="24" t="s">
        <v>1878</v>
      </c>
      <c r="O18" s="23" t="s">
        <v>297</v>
      </c>
      <c r="P18" s="23"/>
      <c r="Q18" s="23" t="s">
        <v>1879</v>
      </c>
      <c r="R18" s="23" t="s">
        <v>1880</v>
      </c>
      <c r="S18" s="23" t="s">
        <v>349</v>
      </c>
      <c r="T18" s="23" t="s">
        <v>1801</v>
      </c>
      <c r="U18" s="24" t="s">
        <v>1881</v>
      </c>
      <c r="V18" s="23" t="s">
        <v>260</v>
      </c>
      <c r="W18" s="23" t="s">
        <v>261</v>
      </c>
      <c r="X18" s="23"/>
      <c r="Y18" s="23"/>
      <c r="Z18" s="23" t="s">
        <v>128</v>
      </c>
    </row>
    <row r="19" spans="1:26" ht="85.5" customHeight="1">
      <c r="A19" s="23" t="s">
        <v>1202</v>
      </c>
      <c r="B19" s="23" t="s">
        <v>1203</v>
      </c>
      <c r="C19" s="24" t="s">
        <v>1204</v>
      </c>
      <c r="D19" s="46" t="s">
        <v>1803</v>
      </c>
      <c r="E19" s="46" t="s">
        <v>1205</v>
      </c>
      <c r="F19" s="23" t="s">
        <v>1206</v>
      </c>
      <c r="G19" s="23">
        <v>748476800000</v>
      </c>
      <c r="H19" s="23" t="s">
        <v>1207</v>
      </c>
      <c r="I19" s="23" t="s">
        <v>1882</v>
      </c>
      <c r="J19" s="26">
        <v>95.958564102564097</v>
      </c>
      <c r="K19" s="23" t="s">
        <v>171</v>
      </c>
      <c r="L19" s="25" t="s">
        <v>120</v>
      </c>
      <c r="M19" s="23" t="s">
        <v>1883</v>
      </c>
      <c r="N19" s="23" t="s">
        <v>1884</v>
      </c>
      <c r="O19" s="23" t="s">
        <v>1208</v>
      </c>
      <c r="P19" s="23"/>
      <c r="Q19" s="23" t="s">
        <v>1885</v>
      </c>
      <c r="R19" s="23" t="s">
        <v>1886</v>
      </c>
      <c r="S19" s="23" t="s">
        <v>349</v>
      </c>
      <c r="T19" s="23" t="s">
        <v>1801</v>
      </c>
      <c r="U19" s="24" t="s">
        <v>1887</v>
      </c>
      <c r="V19" s="23" t="s">
        <v>260</v>
      </c>
      <c r="W19" s="23" t="s">
        <v>261</v>
      </c>
      <c r="X19" s="23" t="s">
        <v>262</v>
      </c>
      <c r="Y19" s="23" t="s">
        <v>263</v>
      </c>
      <c r="Z19" s="23" t="s">
        <v>128</v>
      </c>
    </row>
    <row r="20" spans="1:26" ht="57" customHeight="1">
      <c r="A20" s="23" t="s">
        <v>217</v>
      </c>
      <c r="B20" s="23" t="s">
        <v>55</v>
      </c>
      <c r="C20" s="24" t="s">
        <v>218</v>
      </c>
      <c r="D20" s="46" t="s">
        <v>1803</v>
      </c>
      <c r="E20" s="46" t="s">
        <v>219</v>
      </c>
      <c r="F20" s="23" t="s">
        <v>220</v>
      </c>
      <c r="G20" s="23">
        <v>2359200000000</v>
      </c>
      <c r="H20" s="23" t="s">
        <v>221</v>
      </c>
      <c r="I20" s="23" t="s">
        <v>1888</v>
      </c>
      <c r="J20" s="26">
        <v>40.6758620689655</v>
      </c>
      <c r="K20" s="23" t="s">
        <v>222</v>
      </c>
      <c r="L20" s="25" t="s">
        <v>120</v>
      </c>
      <c r="M20" s="23" t="s">
        <v>1889</v>
      </c>
      <c r="N20" s="23" t="s">
        <v>1890</v>
      </c>
      <c r="O20" s="23" t="s">
        <v>223</v>
      </c>
      <c r="P20" s="23"/>
      <c r="Q20" s="23" t="s">
        <v>1799</v>
      </c>
      <c r="R20" s="23" t="s">
        <v>1891</v>
      </c>
      <c r="S20" s="23" t="s">
        <v>349</v>
      </c>
      <c r="T20" s="23" t="s">
        <v>1801</v>
      </c>
      <c r="U20" s="24" t="s">
        <v>1892</v>
      </c>
      <c r="V20" s="23" t="s">
        <v>123</v>
      </c>
      <c r="W20" s="23" t="s">
        <v>124</v>
      </c>
      <c r="X20" s="23" t="s">
        <v>152</v>
      </c>
      <c r="Y20" s="23" t="s">
        <v>153</v>
      </c>
      <c r="Z20" s="23" t="s">
        <v>128</v>
      </c>
    </row>
    <row r="21" spans="1:26" ht="57" customHeight="1">
      <c r="A21" s="23" t="s">
        <v>324</v>
      </c>
      <c r="B21" s="23" t="s">
        <v>325</v>
      </c>
      <c r="C21" s="24" t="s">
        <v>326</v>
      </c>
      <c r="D21" s="46" t="s">
        <v>1803</v>
      </c>
      <c r="E21" s="46" t="s">
        <v>327</v>
      </c>
      <c r="F21" s="23" t="s">
        <v>328</v>
      </c>
      <c r="G21" s="23">
        <v>998000000000</v>
      </c>
      <c r="H21" s="23" t="s">
        <v>329</v>
      </c>
      <c r="I21" s="23" t="s">
        <v>1893</v>
      </c>
      <c r="J21" s="26">
        <v>3.5953598962461299</v>
      </c>
      <c r="K21" s="23" t="s">
        <v>148</v>
      </c>
      <c r="L21" s="25" t="s">
        <v>120</v>
      </c>
      <c r="M21" s="23" t="s">
        <v>1894</v>
      </c>
      <c r="N21" s="23" t="s">
        <v>1895</v>
      </c>
      <c r="O21" s="23" t="s">
        <v>330</v>
      </c>
      <c r="P21" s="23"/>
      <c r="Q21" s="23" t="s">
        <v>1799</v>
      </c>
      <c r="R21" s="23" t="s">
        <v>1896</v>
      </c>
      <c r="S21" s="23" t="s">
        <v>349</v>
      </c>
      <c r="T21" s="23" t="s">
        <v>1801</v>
      </c>
      <c r="U21" s="24" t="s">
        <v>1897</v>
      </c>
      <c r="V21" s="23" t="s">
        <v>123</v>
      </c>
      <c r="W21" s="23" t="s">
        <v>124</v>
      </c>
      <c r="X21" s="23" t="s">
        <v>125</v>
      </c>
      <c r="Y21" s="23" t="s">
        <v>126</v>
      </c>
      <c r="Z21" s="23" t="s">
        <v>128</v>
      </c>
    </row>
    <row r="22" spans="1:26" ht="71.25" customHeight="1">
      <c r="A22" s="23" t="s">
        <v>465</v>
      </c>
      <c r="B22" s="23" t="s">
        <v>466</v>
      </c>
      <c r="C22" s="24" t="s">
        <v>467</v>
      </c>
      <c r="D22" s="46" t="s">
        <v>1803</v>
      </c>
      <c r="E22" s="46" t="s">
        <v>468</v>
      </c>
      <c r="F22" s="23" t="s">
        <v>469</v>
      </c>
      <c r="G22" s="23">
        <v>11600000000000</v>
      </c>
      <c r="H22" s="23" t="s">
        <v>470</v>
      </c>
      <c r="I22" s="23" t="s">
        <v>1898</v>
      </c>
      <c r="J22" s="26">
        <v>22.745098039215701</v>
      </c>
      <c r="K22" s="23" t="s">
        <v>148</v>
      </c>
      <c r="L22" s="25" t="s">
        <v>120</v>
      </c>
      <c r="M22" s="23" t="s">
        <v>1899</v>
      </c>
      <c r="N22" s="23" t="s">
        <v>1900</v>
      </c>
      <c r="O22" s="23" t="s">
        <v>471</v>
      </c>
      <c r="P22" s="23"/>
      <c r="Q22" s="23" t="s">
        <v>1799</v>
      </c>
      <c r="R22" s="23" t="s">
        <v>1901</v>
      </c>
      <c r="S22" s="23" t="s">
        <v>349</v>
      </c>
      <c r="T22" s="23" t="s">
        <v>1801</v>
      </c>
      <c r="U22" s="23" t="s">
        <v>1902</v>
      </c>
      <c r="V22" s="23" t="s">
        <v>123</v>
      </c>
      <c r="W22" s="23" t="s">
        <v>124</v>
      </c>
      <c r="X22" s="23" t="s">
        <v>152</v>
      </c>
      <c r="Y22" s="23" t="s">
        <v>153</v>
      </c>
      <c r="Z22" s="23" t="s">
        <v>128</v>
      </c>
    </row>
    <row r="23" spans="1:26" ht="71.25" customHeight="1">
      <c r="A23" s="23" t="s">
        <v>354</v>
      </c>
      <c r="B23" s="23" t="s">
        <v>355</v>
      </c>
      <c r="C23" s="24" t="s">
        <v>356</v>
      </c>
      <c r="D23" s="46" t="s">
        <v>1803</v>
      </c>
      <c r="E23" s="46" t="s">
        <v>357</v>
      </c>
      <c r="F23" s="23" t="s">
        <v>358</v>
      </c>
      <c r="G23" s="23">
        <v>278300000000</v>
      </c>
      <c r="H23" s="23" t="s">
        <v>359</v>
      </c>
      <c r="I23" s="23" t="s">
        <v>1903</v>
      </c>
      <c r="J23" s="26">
        <v>16.123986095017401</v>
      </c>
      <c r="K23" s="23" t="s">
        <v>148</v>
      </c>
      <c r="L23" s="25" t="s">
        <v>120</v>
      </c>
      <c r="M23" s="23" t="s">
        <v>1904</v>
      </c>
      <c r="N23" s="23" t="s">
        <v>1905</v>
      </c>
      <c r="O23" s="23" t="s">
        <v>360</v>
      </c>
      <c r="P23" s="23"/>
      <c r="Q23" s="23" t="s">
        <v>1799</v>
      </c>
      <c r="R23" s="23" t="s">
        <v>1906</v>
      </c>
      <c r="S23" s="23" t="s">
        <v>349</v>
      </c>
      <c r="T23" s="23" t="s">
        <v>1801</v>
      </c>
      <c r="U23" s="24" t="s">
        <v>1907</v>
      </c>
      <c r="V23" s="23" t="s">
        <v>123</v>
      </c>
      <c r="W23" s="23" t="s">
        <v>124</v>
      </c>
      <c r="X23" s="23" t="s">
        <v>152</v>
      </c>
      <c r="Y23" s="23" t="s">
        <v>153</v>
      </c>
      <c r="Z23" s="23" t="s">
        <v>264</v>
      </c>
    </row>
    <row r="24" spans="1:26" ht="57" customHeight="1">
      <c r="A24" s="23" t="s">
        <v>354</v>
      </c>
      <c r="B24" s="23" t="s">
        <v>355</v>
      </c>
      <c r="C24" s="24" t="s">
        <v>356</v>
      </c>
      <c r="D24" s="46" t="s">
        <v>1803</v>
      </c>
      <c r="E24" s="46" t="s">
        <v>1908</v>
      </c>
      <c r="F24" s="23" t="s">
        <v>1909</v>
      </c>
      <c r="G24" s="23">
        <v>1875700000000</v>
      </c>
      <c r="H24" s="23" t="s">
        <v>359</v>
      </c>
      <c r="I24" s="23" t="s">
        <v>1910</v>
      </c>
      <c r="J24" s="26">
        <v>108.673232908459</v>
      </c>
      <c r="K24" s="23" t="s">
        <v>148</v>
      </c>
      <c r="L24" s="25" t="s">
        <v>120</v>
      </c>
      <c r="M24" s="23" t="s">
        <v>1904</v>
      </c>
      <c r="N24" s="23" t="s">
        <v>1911</v>
      </c>
      <c r="O24" s="23" t="s">
        <v>360</v>
      </c>
      <c r="P24" s="23"/>
      <c r="Q24" s="23" t="s">
        <v>1799</v>
      </c>
      <c r="R24" s="23" t="s">
        <v>1912</v>
      </c>
      <c r="S24" s="23" t="s">
        <v>349</v>
      </c>
      <c r="T24" s="23" t="s">
        <v>1801</v>
      </c>
      <c r="U24" s="24" t="s">
        <v>1913</v>
      </c>
      <c r="V24" s="23" t="s">
        <v>123</v>
      </c>
      <c r="W24" s="23" t="s">
        <v>124</v>
      </c>
      <c r="X24" s="23" t="s">
        <v>152</v>
      </c>
      <c r="Y24" s="23" t="s">
        <v>153</v>
      </c>
      <c r="Z24" s="23" t="s">
        <v>264</v>
      </c>
    </row>
    <row r="25" spans="1:26" ht="57" customHeight="1">
      <c r="A25" s="23" t="s">
        <v>700</v>
      </c>
      <c r="B25" s="23" t="s">
        <v>701</v>
      </c>
      <c r="C25" s="24" t="s">
        <v>702</v>
      </c>
      <c r="D25" s="46" t="s">
        <v>1803</v>
      </c>
      <c r="E25" s="46" t="s">
        <v>703</v>
      </c>
      <c r="F25" s="23" t="s">
        <v>704</v>
      </c>
      <c r="G25" s="23">
        <v>3009600000</v>
      </c>
      <c r="H25" s="23" t="s">
        <v>310</v>
      </c>
      <c r="I25" s="23" t="s">
        <v>1914</v>
      </c>
      <c r="J25" s="26">
        <v>7.9830238726790501</v>
      </c>
      <c r="K25" s="23" t="s">
        <v>193</v>
      </c>
      <c r="L25" s="25" t="s">
        <v>120</v>
      </c>
      <c r="M25" s="23" t="s">
        <v>1315</v>
      </c>
      <c r="N25" s="23" t="s">
        <v>1915</v>
      </c>
      <c r="O25" s="23" t="s">
        <v>705</v>
      </c>
      <c r="P25" s="23"/>
      <c r="Q25" s="23" t="s">
        <v>1799</v>
      </c>
      <c r="R25" s="23" t="s">
        <v>1916</v>
      </c>
      <c r="S25" s="23" t="s">
        <v>349</v>
      </c>
      <c r="T25" s="23" t="s">
        <v>1801</v>
      </c>
      <c r="U25" s="24" t="s">
        <v>1917</v>
      </c>
      <c r="V25" s="23" t="s">
        <v>123</v>
      </c>
      <c r="W25" s="23" t="s">
        <v>124</v>
      </c>
      <c r="X25" s="23" t="s">
        <v>262</v>
      </c>
      <c r="Y25" s="23" t="s">
        <v>263</v>
      </c>
      <c r="Z25" s="23" t="s">
        <v>128</v>
      </c>
    </row>
    <row r="26" spans="1:26" ht="57" customHeight="1">
      <c r="A26" s="23" t="s">
        <v>729</v>
      </c>
      <c r="B26" s="23" t="s">
        <v>730</v>
      </c>
      <c r="C26" s="24" t="s">
        <v>731</v>
      </c>
      <c r="D26" s="46" t="s">
        <v>1803</v>
      </c>
      <c r="E26" s="46" t="s">
        <v>732</v>
      </c>
      <c r="F26" s="23" t="s">
        <v>733</v>
      </c>
      <c r="G26" s="23">
        <v>2070200000</v>
      </c>
      <c r="H26" s="23" t="s">
        <v>734</v>
      </c>
      <c r="I26" s="23" t="s">
        <v>1918</v>
      </c>
      <c r="J26" s="26">
        <v>6.7214285714285698</v>
      </c>
      <c r="K26" s="23" t="s">
        <v>385</v>
      </c>
      <c r="L26" s="25" t="s">
        <v>120</v>
      </c>
      <c r="M26" s="23" t="s">
        <v>1281</v>
      </c>
      <c r="N26" s="23" t="s">
        <v>1919</v>
      </c>
      <c r="O26" s="23" t="s">
        <v>735</v>
      </c>
      <c r="P26" s="23"/>
      <c r="Q26" s="23" t="s">
        <v>1824</v>
      </c>
      <c r="R26" s="23" t="s">
        <v>1920</v>
      </c>
      <c r="S26" s="23" t="s">
        <v>349</v>
      </c>
      <c r="T26" s="23" t="s">
        <v>1801</v>
      </c>
      <c r="U26" s="24" t="s">
        <v>1921</v>
      </c>
      <c r="V26" s="23" t="s">
        <v>123</v>
      </c>
      <c r="W26" s="23" t="s">
        <v>124</v>
      </c>
      <c r="X26" s="23" t="s">
        <v>262</v>
      </c>
      <c r="Y26" s="23" t="s">
        <v>263</v>
      </c>
      <c r="Z26" s="23" t="s">
        <v>128</v>
      </c>
    </row>
    <row r="27" spans="1:26" ht="57" customHeight="1">
      <c r="A27" s="23" t="s">
        <v>812</v>
      </c>
      <c r="B27" s="23" t="s">
        <v>813</v>
      </c>
      <c r="C27" s="24" t="s">
        <v>814</v>
      </c>
      <c r="D27" s="46" t="s">
        <v>1803</v>
      </c>
      <c r="E27" s="46" t="s">
        <v>815</v>
      </c>
      <c r="F27" s="23" t="s">
        <v>816</v>
      </c>
      <c r="G27" s="23">
        <v>2407042000000</v>
      </c>
      <c r="H27" s="23" t="s">
        <v>817</v>
      </c>
      <c r="I27" s="23" t="s">
        <v>1922</v>
      </c>
      <c r="J27" s="26">
        <v>53.264925868554997</v>
      </c>
      <c r="K27" s="23" t="s">
        <v>818</v>
      </c>
      <c r="L27" s="25" t="s">
        <v>120</v>
      </c>
      <c r="M27" s="23" t="s">
        <v>1330</v>
      </c>
      <c r="N27" s="23" t="s">
        <v>1923</v>
      </c>
      <c r="O27" s="23" t="s">
        <v>819</v>
      </c>
      <c r="P27" s="23"/>
      <c r="Q27" s="23" t="s">
        <v>1824</v>
      </c>
      <c r="R27" s="23" t="s">
        <v>1924</v>
      </c>
      <c r="S27" s="23" t="s">
        <v>349</v>
      </c>
      <c r="T27" s="23" t="s">
        <v>1801</v>
      </c>
      <c r="U27" s="24" t="s">
        <v>1925</v>
      </c>
      <c r="V27" s="23" t="s">
        <v>123</v>
      </c>
      <c r="W27" s="23" t="s">
        <v>124</v>
      </c>
      <c r="X27" s="23" t="s">
        <v>152</v>
      </c>
      <c r="Y27" s="23" t="s">
        <v>153</v>
      </c>
      <c r="Z27" s="23" t="s">
        <v>264</v>
      </c>
    </row>
    <row r="28" spans="1:26" ht="71.25" customHeight="1">
      <c r="A28" s="23" t="s">
        <v>422</v>
      </c>
      <c r="B28" s="23" t="s">
        <v>423</v>
      </c>
      <c r="C28" s="24" t="s">
        <v>424</v>
      </c>
      <c r="D28" s="46" t="s">
        <v>1803</v>
      </c>
      <c r="E28" s="46" t="s">
        <v>425</v>
      </c>
      <c r="F28" s="23" t="s">
        <v>426</v>
      </c>
      <c r="G28" s="23">
        <v>3783400000000</v>
      </c>
      <c r="H28" s="23" t="s">
        <v>427</v>
      </c>
      <c r="I28" s="23" t="s">
        <v>1926</v>
      </c>
      <c r="J28" s="26">
        <v>2.52226666666667</v>
      </c>
      <c r="K28" s="23" t="s">
        <v>148</v>
      </c>
      <c r="L28" s="25" t="s">
        <v>120</v>
      </c>
      <c r="M28" s="23" t="s">
        <v>1927</v>
      </c>
      <c r="N28" s="23" t="s">
        <v>1928</v>
      </c>
      <c r="O28" s="23" t="s">
        <v>428</v>
      </c>
      <c r="P28" s="23"/>
      <c r="Q28" s="23" t="s">
        <v>1799</v>
      </c>
      <c r="R28" s="23" t="s">
        <v>1929</v>
      </c>
      <c r="S28" s="23" t="s">
        <v>349</v>
      </c>
      <c r="T28" s="23" t="s">
        <v>1801</v>
      </c>
      <c r="U28" s="23" t="s">
        <v>1930</v>
      </c>
      <c r="V28" s="23" t="s">
        <v>123</v>
      </c>
      <c r="W28" s="23" t="s">
        <v>124</v>
      </c>
      <c r="X28" s="23" t="s">
        <v>125</v>
      </c>
      <c r="Y28" s="23" t="s">
        <v>126</v>
      </c>
      <c r="Z28" s="23" t="s">
        <v>128</v>
      </c>
    </row>
    <row r="29" spans="1:26" ht="57" customHeight="1">
      <c r="A29" s="23" t="s">
        <v>372</v>
      </c>
      <c r="B29" s="23" t="s">
        <v>373</v>
      </c>
      <c r="C29" s="24" t="s">
        <v>374</v>
      </c>
      <c r="D29" s="46" t="s">
        <v>1803</v>
      </c>
      <c r="E29" s="46" t="s">
        <v>375</v>
      </c>
      <c r="F29" s="23" t="s">
        <v>376</v>
      </c>
      <c r="G29" s="23">
        <v>1182697000000</v>
      </c>
      <c r="H29" s="23" t="s">
        <v>377</v>
      </c>
      <c r="I29" s="23" t="s">
        <v>1931</v>
      </c>
      <c r="J29" s="26">
        <v>215.035818181818</v>
      </c>
      <c r="K29" s="23" t="s">
        <v>189</v>
      </c>
      <c r="L29" s="25" t="s">
        <v>120</v>
      </c>
      <c r="M29" s="23" t="s">
        <v>1932</v>
      </c>
      <c r="N29" s="23" t="s">
        <v>1933</v>
      </c>
      <c r="O29" s="23" t="s">
        <v>378</v>
      </c>
      <c r="P29" s="23"/>
      <c r="Q29" s="23" t="s">
        <v>1934</v>
      </c>
      <c r="R29" s="23" t="s">
        <v>1935</v>
      </c>
      <c r="S29" s="23" t="s">
        <v>349</v>
      </c>
      <c r="T29" s="23" t="s">
        <v>1801</v>
      </c>
      <c r="U29" s="23" t="s">
        <v>1936</v>
      </c>
      <c r="V29" s="23" t="s">
        <v>123</v>
      </c>
      <c r="W29" s="23" t="s">
        <v>124</v>
      </c>
      <c r="X29" s="23" t="s">
        <v>152</v>
      </c>
      <c r="Y29" s="23" t="s">
        <v>153</v>
      </c>
      <c r="Z29" s="23" t="s">
        <v>128</v>
      </c>
    </row>
    <row r="30" spans="1:26" ht="57" customHeight="1">
      <c r="A30" s="23" t="s">
        <v>1049</v>
      </c>
      <c r="B30" s="23" t="s">
        <v>1050</v>
      </c>
      <c r="C30" s="24" t="s">
        <v>1051</v>
      </c>
      <c r="D30" s="46" t="s">
        <v>1803</v>
      </c>
      <c r="E30" s="46" t="s">
        <v>1937</v>
      </c>
      <c r="F30" s="23" t="s">
        <v>1938</v>
      </c>
      <c r="G30" s="23">
        <v>5166900000000</v>
      </c>
      <c r="H30" s="23" t="s">
        <v>750</v>
      </c>
      <c r="I30" s="23" t="s">
        <v>1939</v>
      </c>
      <c r="J30" s="26">
        <v>5166.8999999999996</v>
      </c>
      <c r="K30" s="23" t="s">
        <v>189</v>
      </c>
      <c r="L30" s="25" t="s">
        <v>120</v>
      </c>
      <c r="M30" s="23" t="s">
        <v>1367</v>
      </c>
      <c r="N30" s="23" t="s">
        <v>1940</v>
      </c>
      <c r="O30" s="23" t="s">
        <v>1941</v>
      </c>
      <c r="P30" s="23"/>
      <c r="Q30" s="23" t="s">
        <v>1810</v>
      </c>
      <c r="R30" s="23" t="s">
        <v>1942</v>
      </c>
      <c r="S30" s="23" t="s">
        <v>349</v>
      </c>
      <c r="T30" s="23" t="s">
        <v>1801</v>
      </c>
      <c r="U30" s="24" t="s">
        <v>1943</v>
      </c>
      <c r="V30" s="23" t="s">
        <v>260</v>
      </c>
      <c r="W30" s="23" t="s">
        <v>261</v>
      </c>
      <c r="X30" s="23" t="s">
        <v>262</v>
      </c>
      <c r="Y30" s="23" t="s">
        <v>263</v>
      </c>
      <c r="Z30" s="23" t="s">
        <v>264</v>
      </c>
    </row>
    <row r="31" spans="1:26" ht="85.5" customHeight="1">
      <c r="A31" s="23" t="s">
        <v>1049</v>
      </c>
      <c r="B31" s="23" t="s">
        <v>1050</v>
      </c>
      <c r="C31" s="24" t="s">
        <v>1051</v>
      </c>
      <c r="D31" s="44" t="s">
        <v>1795</v>
      </c>
      <c r="E31" s="44" t="s">
        <v>1944</v>
      </c>
      <c r="F31" s="23" t="s">
        <v>1945</v>
      </c>
      <c r="G31" s="23">
        <v>699500000000</v>
      </c>
      <c r="H31" s="23" t="s">
        <v>750</v>
      </c>
      <c r="I31" s="23" t="s">
        <v>1939</v>
      </c>
      <c r="J31" s="26">
        <v>699.5</v>
      </c>
      <c r="K31" s="23" t="s">
        <v>189</v>
      </c>
      <c r="L31" s="25" t="s">
        <v>120</v>
      </c>
      <c r="M31" s="23" t="s">
        <v>1367</v>
      </c>
      <c r="N31" s="23" t="s">
        <v>1946</v>
      </c>
      <c r="O31" s="23" t="s">
        <v>1941</v>
      </c>
      <c r="P31" s="23"/>
      <c r="Q31" s="23" t="s">
        <v>1810</v>
      </c>
      <c r="R31" s="23" t="s">
        <v>1947</v>
      </c>
      <c r="S31" s="23" t="s">
        <v>349</v>
      </c>
      <c r="T31" s="23" t="s">
        <v>1801</v>
      </c>
      <c r="U31" s="24" t="s">
        <v>1948</v>
      </c>
      <c r="V31" s="23" t="s">
        <v>260</v>
      </c>
      <c r="W31" s="23" t="s">
        <v>261</v>
      </c>
      <c r="X31" s="23" t="s">
        <v>262</v>
      </c>
      <c r="Y31" s="23" t="s">
        <v>263</v>
      </c>
      <c r="Z31" s="23" t="s">
        <v>264</v>
      </c>
    </row>
    <row r="32" spans="1:26" ht="57" customHeight="1">
      <c r="A32" s="23" t="s">
        <v>565</v>
      </c>
      <c r="B32" s="23" t="s">
        <v>566</v>
      </c>
      <c r="C32" s="24" t="s">
        <v>567</v>
      </c>
      <c r="D32" s="46" t="s">
        <v>1803</v>
      </c>
      <c r="E32" s="46" t="s">
        <v>568</v>
      </c>
      <c r="F32" s="23" t="s">
        <v>569</v>
      </c>
      <c r="G32" s="23">
        <v>114292000000</v>
      </c>
      <c r="H32" s="23" t="s">
        <v>570</v>
      </c>
      <c r="I32" s="23" t="s">
        <v>1949</v>
      </c>
      <c r="J32" s="26">
        <v>30.889729729729702</v>
      </c>
      <c r="K32" s="23" t="s">
        <v>189</v>
      </c>
      <c r="L32" s="25" t="s">
        <v>120</v>
      </c>
      <c r="M32" s="23" t="s">
        <v>1950</v>
      </c>
      <c r="N32" s="23" t="s">
        <v>1951</v>
      </c>
      <c r="O32" s="23" t="s">
        <v>571</v>
      </c>
      <c r="P32" s="23"/>
      <c r="Q32" s="23" t="s">
        <v>1824</v>
      </c>
      <c r="R32" s="23" t="s">
        <v>1952</v>
      </c>
      <c r="S32" s="23" t="s">
        <v>349</v>
      </c>
      <c r="T32" s="23" t="s">
        <v>1801</v>
      </c>
      <c r="U32" s="23" t="s">
        <v>1953</v>
      </c>
      <c r="V32" s="23" t="s">
        <v>123</v>
      </c>
      <c r="W32" s="23" t="s">
        <v>124</v>
      </c>
      <c r="X32" s="23" t="s">
        <v>152</v>
      </c>
      <c r="Y32" s="23" t="s">
        <v>153</v>
      </c>
      <c r="Z32" s="23" t="s">
        <v>128</v>
      </c>
    </row>
    <row r="33" spans="1:26" ht="99.75" customHeight="1">
      <c r="A33" s="23" t="s">
        <v>548</v>
      </c>
      <c r="B33" s="23" t="s">
        <v>549</v>
      </c>
      <c r="C33" s="24" t="s">
        <v>550</v>
      </c>
      <c r="D33" s="46" t="s">
        <v>1803</v>
      </c>
      <c r="E33" s="46" t="s">
        <v>551</v>
      </c>
      <c r="F33" s="23" t="s">
        <v>552</v>
      </c>
      <c r="G33" s="23">
        <v>21062000000000</v>
      </c>
      <c r="H33" s="23" t="s">
        <v>553</v>
      </c>
      <c r="I33" s="23" t="s">
        <v>1954</v>
      </c>
      <c r="J33" s="26">
        <v>17.551666666666701</v>
      </c>
      <c r="K33" s="23" t="s">
        <v>554</v>
      </c>
      <c r="L33" s="25" t="s">
        <v>120</v>
      </c>
      <c r="M33" s="23" t="s">
        <v>1298</v>
      </c>
      <c r="N33" s="23" t="s">
        <v>1955</v>
      </c>
      <c r="O33" s="23" t="s">
        <v>555</v>
      </c>
      <c r="P33" s="23"/>
      <c r="Q33" s="23" t="s">
        <v>1799</v>
      </c>
      <c r="R33" s="23" t="s">
        <v>1956</v>
      </c>
      <c r="S33" s="23" t="s">
        <v>349</v>
      </c>
      <c r="T33" s="23" t="s">
        <v>1801</v>
      </c>
      <c r="U33" s="24" t="s">
        <v>1957</v>
      </c>
      <c r="V33" s="23" t="s">
        <v>123</v>
      </c>
      <c r="W33" s="23" t="s">
        <v>124</v>
      </c>
      <c r="X33" s="23" t="s">
        <v>152</v>
      </c>
      <c r="Y33" s="23" t="s">
        <v>153</v>
      </c>
      <c r="Z33" s="23" t="s">
        <v>128</v>
      </c>
    </row>
    <row r="34" spans="1:26" ht="71.25" customHeight="1">
      <c r="A34" s="23" t="s">
        <v>580</v>
      </c>
      <c r="B34" s="23" t="s">
        <v>581</v>
      </c>
      <c r="C34" s="24" t="s">
        <v>582</v>
      </c>
      <c r="D34" s="46" t="s">
        <v>1803</v>
      </c>
      <c r="E34" s="46" t="s">
        <v>583</v>
      </c>
      <c r="F34" s="23" t="s">
        <v>584</v>
      </c>
      <c r="G34" s="23">
        <v>21536300000000</v>
      </c>
      <c r="H34" s="23" t="s">
        <v>585</v>
      </c>
      <c r="I34" s="23" t="s">
        <v>1958</v>
      </c>
      <c r="J34" s="26">
        <v>22.669789473684201</v>
      </c>
      <c r="K34" s="23" t="s">
        <v>586</v>
      </c>
      <c r="L34" s="25" t="s">
        <v>120</v>
      </c>
      <c r="M34" s="23" t="s">
        <v>1959</v>
      </c>
      <c r="N34" s="23" t="s">
        <v>1960</v>
      </c>
      <c r="O34" s="23" t="s">
        <v>587</v>
      </c>
      <c r="P34" s="23"/>
      <c r="Q34" s="23" t="s">
        <v>1824</v>
      </c>
      <c r="R34" s="23" t="s">
        <v>1961</v>
      </c>
      <c r="S34" s="23" t="s">
        <v>349</v>
      </c>
      <c r="T34" s="23" t="s">
        <v>1801</v>
      </c>
      <c r="U34" s="23" t="s">
        <v>1962</v>
      </c>
      <c r="V34" s="23" t="s">
        <v>123</v>
      </c>
      <c r="W34" s="23" t="s">
        <v>124</v>
      </c>
      <c r="X34" s="23" t="s">
        <v>262</v>
      </c>
      <c r="Y34" s="23" t="s">
        <v>263</v>
      </c>
      <c r="Z34" s="23" t="s">
        <v>264</v>
      </c>
    </row>
    <row r="35" spans="1:26" ht="99.75" customHeight="1">
      <c r="A35" s="23" t="s">
        <v>597</v>
      </c>
      <c r="B35" s="23" t="s">
        <v>598</v>
      </c>
      <c r="C35" s="24" t="s">
        <v>599</v>
      </c>
      <c r="D35" s="42" t="s">
        <v>1818</v>
      </c>
      <c r="E35" s="42" t="s">
        <v>600</v>
      </c>
      <c r="F35" s="23" t="s">
        <v>601</v>
      </c>
      <c r="G35" s="23">
        <v>96300000000</v>
      </c>
      <c r="H35" s="23" t="s">
        <v>602</v>
      </c>
      <c r="I35" s="23" t="s">
        <v>1963</v>
      </c>
      <c r="J35" s="26">
        <v>2.0062500000000001</v>
      </c>
      <c r="K35" s="23" t="s">
        <v>148</v>
      </c>
      <c r="L35" s="27" t="s">
        <v>149</v>
      </c>
      <c r="M35" s="23" t="s">
        <v>1964</v>
      </c>
      <c r="N35" s="23" t="s">
        <v>1965</v>
      </c>
      <c r="O35" s="23" t="s">
        <v>603</v>
      </c>
      <c r="P35" s="23"/>
      <c r="Q35" s="23" t="s">
        <v>1966</v>
      </c>
      <c r="R35" s="23" t="s">
        <v>1967</v>
      </c>
      <c r="S35" s="23" t="s">
        <v>349</v>
      </c>
      <c r="T35" s="23" t="s">
        <v>1801</v>
      </c>
      <c r="U35" s="24" t="s">
        <v>1968</v>
      </c>
      <c r="V35" s="23" t="s">
        <v>123</v>
      </c>
      <c r="W35" s="23" t="s">
        <v>124</v>
      </c>
      <c r="X35" s="23" t="s">
        <v>125</v>
      </c>
      <c r="Y35" s="23" t="s">
        <v>126</v>
      </c>
      <c r="Z35" s="23" t="s">
        <v>128</v>
      </c>
    </row>
    <row r="36" spans="1:26" ht="99.75" customHeight="1">
      <c r="A36" s="23" t="s">
        <v>1049</v>
      </c>
      <c r="B36" s="23" t="s">
        <v>1050</v>
      </c>
      <c r="C36" s="24" t="s">
        <v>1051</v>
      </c>
      <c r="D36" s="42" t="s">
        <v>1818</v>
      </c>
      <c r="E36" s="42" t="s">
        <v>1052</v>
      </c>
      <c r="F36" s="23" t="s">
        <v>1053</v>
      </c>
      <c r="G36" s="23">
        <v>924000000000</v>
      </c>
      <c r="H36" s="23" t="s">
        <v>750</v>
      </c>
      <c r="I36" s="23" t="s">
        <v>1939</v>
      </c>
      <c r="J36" s="26">
        <v>924</v>
      </c>
      <c r="K36" s="23" t="s">
        <v>563</v>
      </c>
      <c r="L36" s="25" t="s">
        <v>120</v>
      </c>
      <c r="M36" s="23" t="s">
        <v>1367</v>
      </c>
      <c r="N36" s="23" t="s">
        <v>1969</v>
      </c>
      <c r="O36" s="23" t="s">
        <v>1054</v>
      </c>
      <c r="P36" s="23"/>
      <c r="Q36" s="23" t="s">
        <v>1810</v>
      </c>
      <c r="R36" s="23" t="s">
        <v>1970</v>
      </c>
      <c r="S36" s="23" t="s">
        <v>349</v>
      </c>
      <c r="T36" s="23" t="s">
        <v>1801</v>
      </c>
      <c r="U36" s="24" t="s">
        <v>1971</v>
      </c>
      <c r="V36" s="23" t="s">
        <v>260</v>
      </c>
      <c r="W36" s="23" t="s">
        <v>261</v>
      </c>
      <c r="X36" s="23" t="s">
        <v>262</v>
      </c>
      <c r="Y36" s="23" t="s">
        <v>263</v>
      </c>
      <c r="Z36" s="23" t="s">
        <v>264</v>
      </c>
    </row>
    <row r="37" spans="1:26" ht="85.5" customHeight="1">
      <c r="A37" s="23" t="s">
        <v>1065</v>
      </c>
      <c r="B37" s="23" t="s">
        <v>1066</v>
      </c>
      <c r="C37" s="24" t="s">
        <v>1067</v>
      </c>
      <c r="D37" s="46" t="s">
        <v>1803</v>
      </c>
      <c r="E37" s="46" t="s">
        <v>1068</v>
      </c>
      <c r="F37" s="23" t="s">
        <v>1069</v>
      </c>
      <c r="G37" s="23">
        <v>827701000000</v>
      </c>
      <c r="H37" s="23" t="s">
        <v>1070</v>
      </c>
      <c r="I37" s="23" t="s">
        <v>1972</v>
      </c>
      <c r="J37" s="26">
        <v>604.16131386861298</v>
      </c>
      <c r="K37" s="23" t="s">
        <v>563</v>
      </c>
      <c r="L37" s="25" t="s">
        <v>120</v>
      </c>
      <c r="M37" s="23" t="s">
        <v>1973</v>
      </c>
      <c r="N37" s="23" t="s">
        <v>1974</v>
      </c>
      <c r="O37" s="23" t="s">
        <v>1071</v>
      </c>
      <c r="P37" s="23" t="s">
        <v>1072</v>
      </c>
      <c r="Q37" s="23" t="s">
        <v>1975</v>
      </c>
      <c r="R37" s="23" t="s">
        <v>1976</v>
      </c>
      <c r="S37" s="23" t="s">
        <v>349</v>
      </c>
      <c r="T37" s="23" t="s">
        <v>1801</v>
      </c>
      <c r="U37" s="23" t="s">
        <v>1977</v>
      </c>
      <c r="V37" s="23" t="s">
        <v>260</v>
      </c>
      <c r="W37" s="23" t="s">
        <v>261</v>
      </c>
      <c r="X37" s="23" t="s">
        <v>262</v>
      </c>
      <c r="Y37" s="23" t="s">
        <v>263</v>
      </c>
      <c r="Z37" s="23" t="s">
        <v>264</v>
      </c>
    </row>
    <row r="38" spans="1:26" ht="99.75" customHeight="1">
      <c r="A38" s="23" t="s">
        <v>1081</v>
      </c>
      <c r="B38" s="23" t="s">
        <v>1082</v>
      </c>
      <c r="C38" s="24" t="s">
        <v>1083</v>
      </c>
      <c r="D38" s="46" t="s">
        <v>1803</v>
      </c>
      <c r="E38" s="46" t="s">
        <v>1084</v>
      </c>
      <c r="F38" s="23" t="s">
        <v>1084</v>
      </c>
      <c r="G38" s="23">
        <v>256333000000</v>
      </c>
      <c r="H38" s="23" t="s">
        <v>1085</v>
      </c>
      <c r="I38" s="23" t="s">
        <v>1978</v>
      </c>
      <c r="J38" s="26">
        <v>328.63205128205101</v>
      </c>
      <c r="K38" s="23" t="s">
        <v>189</v>
      </c>
      <c r="L38" s="25" t="s">
        <v>120</v>
      </c>
      <c r="M38" s="23" t="s">
        <v>1979</v>
      </c>
      <c r="N38" s="23" t="s">
        <v>1980</v>
      </c>
      <c r="O38" s="23" t="s">
        <v>1086</v>
      </c>
      <c r="P38" s="23" t="s">
        <v>1087</v>
      </c>
      <c r="Q38" s="23" t="s">
        <v>1868</v>
      </c>
      <c r="R38" s="23" t="s">
        <v>1981</v>
      </c>
      <c r="S38" s="23" t="s">
        <v>349</v>
      </c>
      <c r="T38" s="23" t="s">
        <v>1801</v>
      </c>
      <c r="U38" s="23" t="s">
        <v>1982</v>
      </c>
      <c r="V38" s="23" t="s">
        <v>260</v>
      </c>
      <c r="W38" s="23" t="s">
        <v>261</v>
      </c>
      <c r="X38" s="23" t="s">
        <v>262</v>
      </c>
      <c r="Y38" s="23" t="s">
        <v>263</v>
      </c>
      <c r="Z38" s="23" t="s">
        <v>264</v>
      </c>
    </row>
    <row r="39" spans="1:26" ht="57" customHeight="1">
      <c r="A39" s="23" t="s">
        <v>1097</v>
      </c>
      <c r="B39" s="23" t="s">
        <v>1098</v>
      </c>
      <c r="C39" s="24" t="s">
        <v>1099</v>
      </c>
      <c r="D39" s="46" t="s">
        <v>1803</v>
      </c>
      <c r="E39" s="46" t="s">
        <v>1100</v>
      </c>
      <c r="F39" s="23" t="s">
        <v>1100</v>
      </c>
      <c r="G39" s="23">
        <v>204411000000</v>
      </c>
      <c r="H39" s="23" t="s">
        <v>1101</v>
      </c>
      <c r="I39" s="23" t="s">
        <v>1983</v>
      </c>
      <c r="J39" s="26">
        <v>222.80798999999999</v>
      </c>
      <c r="K39" s="23" t="s">
        <v>189</v>
      </c>
      <c r="L39" s="25" t="s">
        <v>120</v>
      </c>
      <c r="M39" s="23" t="s">
        <v>1984</v>
      </c>
      <c r="N39" s="23" t="s">
        <v>1985</v>
      </c>
      <c r="O39" s="23" t="s">
        <v>1102</v>
      </c>
      <c r="P39" s="23"/>
      <c r="Q39" s="23" t="s">
        <v>1934</v>
      </c>
      <c r="R39" s="23" t="s">
        <v>1986</v>
      </c>
      <c r="S39" s="23" t="s">
        <v>349</v>
      </c>
      <c r="T39" s="23" t="s">
        <v>1801</v>
      </c>
      <c r="U39" s="23" t="s">
        <v>1987</v>
      </c>
      <c r="V39" s="23" t="s">
        <v>260</v>
      </c>
      <c r="W39" s="23" t="s">
        <v>261</v>
      </c>
      <c r="X39" s="23" t="s">
        <v>262</v>
      </c>
      <c r="Y39" s="23" t="s">
        <v>263</v>
      </c>
      <c r="Z39" s="23" t="s">
        <v>264</v>
      </c>
    </row>
    <row r="40" spans="1:26" ht="57" customHeight="1">
      <c r="A40" s="23" t="s">
        <v>1112</v>
      </c>
      <c r="B40" s="23" t="s">
        <v>1113</v>
      </c>
      <c r="C40" s="24" t="s">
        <v>1114</v>
      </c>
      <c r="D40" s="46" t="s">
        <v>1803</v>
      </c>
      <c r="E40" s="46" t="s">
        <v>1100</v>
      </c>
      <c r="F40" s="23" t="s">
        <v>1100</v>
      </c>
      <c r="G40" s="23">
        <v>206339000000</v>
      </c>
      <c r="H40" s="23" t="s">
        <v>1101</v>
      </c>
      <c r="I40" s="23" t="s">
        <v>1983</v>
      </c>
      <c r="J40" s="26">
        <v>224.90951000000001</v>
      </c>
      <c r="K40" s="23" t="s">
        <v>189</v>
      </c>
      <c r="L40" s="25" t="s">
        <v>120</v>
      </c>
      <c r="M40" s="23" t="s">
        <v>1984</v>
      </c>
      <c r="N40" s="23" t="s">
        <v>1988</v>
      </c>
      <c r="O40" s="23" t="s">
        <v>1115</v>
      </c>
      <c r="P40" s="23"/>
      <c r="Q40" s="23" t="s">
        <v>1934</v>
      </c>
      <c r="R40" s="23" t="s">
        <v>1989</v>
      </c>
      <c r="S40" s="23" t="s">
        <v>349</v>
      </c>
      <c r="T40" s="23" t="s">
        <v>1801</v>
      </c>
      <c r="U40" s="23" t="s">
        <v>1987</v>
      </c>
      <c r="V40" s="23" t="s">
        <v>260</v>
      </c>
      <c r="W40" s="23" t="s">
        <v>261</v>
      </c>
      <c r="X40" s="23" t="s">
        <v>262</v>
      </c>
      <c r="Y40" s="23" t="s">
        <v>263</v>
      </c>
      <c r="Z40" s="23" t="s">
        <v>264</v>
      </c>
    </row>
    <row r="41" spans="1:26" ht="57" customHeight="1">
      <c r="A41" s="23" t="s">
        <v>1157</v>
      </c>
      <c r="B41" s="23" t="s">
        <v>1158</v>
      </c>
      <c r="C41" s="24" t="s">
        <v>1159</v>
      </c>
      <c r="D41" s="46" t="s">
        <v>1803</v>
      </c>
      <c r="E41" s="46" t="s">
        <v>1100</v>
      </c>
      <c r="F41" s="23" t="s">
        <v>1100</v>
      </c>
      <c r="G41" s="23">
        <v>134966000000</v>
      </c>
      <c r="H41" s="23" t="s">
        <v>1101</v>
      </c>
      <c r="I41" s="23" t="s">
        <v>1983</v>
      </c>
      <c r="J41" s="26">
        <v>147.11294000000001</v>
      </c>
      <c r="K41" s="23" t="s">
        <v>189</v>
      </c>
      <c r="L41" s="25" t="s">
        <v>120</v>
      </c>
      <c r="M41" s="23" t="s">
        <v>1984</v>
      </c>
      <c r="N41" s="23" t="s">
        <v>1990</v>
      </c>
      <c r="O41" s="23" t="s">
        <v>1160</v>
      </c>
      <c r="P41" s="23"/>
      <c r="Q41" s="23" t="s">
        <v>1934</v>
      </c>
      <c r="R41" s="23" t="s">
        <v>1991</v>
      </c>
      <c r="S41" s="23" t="s">
        <v>349</v>
      </c>
      <c r="T41" s="23" t="s">
        <v>1801</v>
      </c>
      <c r="U41" s="23" t="s">
        <v>1987</v>
      </c>
      <c r="V41" s="23" t="s">
        <v>260</v>
      </c>
      <c r="W41" s="23" t="s">
        <v>261</v>
      </c>
      <c r="X41" s="23" t="s">
        <v>262</v>
      </c>
      <c r="Y41" s="23" t="s">
        <v>263</v>
      </c>
      <c r="Z41" s="23" t="s">
        <v>264</v>
      </c>
    </row>
    <row r="42" spans="1:26" ht="57" customHeight="1">
      <c r="A42" s="23" t="s">
        <v>1135</v>
      </c>
      <c r="B42" s="23" t="s">
        <v>1136</v>
      </c>
      <c r="C42" s="24" t="s">
        <v>1137</v>
      </c>
      <c r="D42" s="46" t="s">
        <v>1803</v>
      </c>
      <c r="E42" s="46" t="s">
        <v>1100</v>
      </c>
      <c r="F42" s="23" t="s">
        <v>1100</v>
      </c>
      <c r="G42" s="23">
        <v>118808000000</v>
      </c>
      <c r="H42" s="23" t="s">
        <v>1101</v>
      </c>
      <c r="I42" s="23" t="s">
        <v>1983</v>
      </c>
      <c r="J42" s="26">
        <v>129.50072</v>
      </c>
      <c r="K42" s="23" t="s">
        <v>189</v>
      </c>
      <c r="L42" s="25" t="s">
        <v>120</v>
      </c>
      <c r="M42" s="23" t="s">
        <v>1984</v>
      </c>
      <c r="N42" s="23" t="s">
        <v>1992</v>
      </c>
      <c r="O42" s="23" t="s">
        <v>1138</v>
      </c>
      <c r="P42" s="23"/>
      <c r="Q42" s="23" t="s">
        <v>1934</v>
      </c>
      <c r="R42" s="23" t="s">
        <v>1993</v>
      </c>
      <c r="S42" s="23" t="s">
        <v>349</v>
      </c>
      <c r="T42" s="23" t="s">
        <v>1801</v>
      </c>
      <c r="U42" s="23" t="s">
        <v>1987</v>
      </c>
      <c r="V42" s="23" t="s">
        <v>260</v>
      </c>
      <c r="W42" s="23" t="s">
        <v>261</v>
      </c>
      <c r="X42" s="23" t="s">
        <v>262</v>
      </c>
      <c r="Y42" s="23" t="s">
        <v>263</v>
      </c>
      <c r="Z42" s="23" t="s">
        <v>264</v>
      </c>
    </row>
    <row r="43" spans="1:26" ht="114" customHeight="1">
      <c r="A43" s="23" t="s">
        <v>1125</v>
      </c>
      <c r="B43" s="23" t="s">
        <v>1126</v>
      </c>
      <c r="C43" s="24" t="s">
        <v>1127</v>
      </c>
      <c r="D43" s="46" t="s">
        <v>1803</v>
      </c>
      <c r="E43" s="46" t="s">
        <v>1100</v>
      </c>
      <c r="F43" s="23" t="s">
        <v>1100</v>
      </c>
      <c r="G43" s="23">
        <v>6821000000</v>
      </c>
      <c r="H43" s="23" t="s">
        <v>1101</v>
      </c>
      <c r="I43" s="23" t="s">
        <v>1983</v>
      </c>
      <c r="J43" s="26">
        <v>7.4348900000000002</v>
      </c>
      <c r="K43" s="23" t="s">
        <v>189</v>
      </c>
      <c r="L43" s="25" t="s">
        <v>120</v>
      </c>
      <c r="M43" s="23" t="s">
        <v>1984</v>
      </c>
      <c r="N43" s="23" t="s">
        <v>1994</v>
      </c>
      <c r="O43" s="23" t="s">
        <v>1128</v>
      </c>
      <c r="P43" s="23"/>
      <c r="Q43" s="23" t="s">
        <v>1934</v>
      </c>
      <c r="R43" s="23" t="s">
        <v>1995</v>
      </c>
      <c r="S43" s="23" t="s">
        <v>349</v>
      </c>
      <c r="T43" s="23" t="s">
        <v>1801</v>
      </c>
      <c r="U43" s="23" t="s">
        <v>1996</v>
      </c>
      <c r="V43" s="23" t="s">
        <v>260</v>
      </c>
      <c r="W43" s="23" t="s">
        <v>261</v>
      </c>
      <c r="X43" s="23" t="s">
        <v>262</v>
      </c>
      <c r="Y43" s="23" t="s">
        <v>263</v>
      </c>
      <c r="Z43" s="23" t="s">
        <v>264</v>
      </c>
    </row>
    <row r="44" spans="1:26" ht="57" customHeight="1">
      <c r="A44" s="23" t="s">
        <v>1192</v>
      </c>
      <c r="B44" s="23" t="s">
        <v>1193</v>
      </c>
      <c r="C44" s="24" t="s">
        <v>1194</v>
      </c>
      <c r="D44" s="46" t="s">
        <v>1803</v>
      </c>
      <c r="E44" s="46" t="s">
        <v>1100</v>
      </c>
      <c r="F44" s="23" t="s">
        <v>1100</v>
      </c>
      <c r="G44" s="23">
        <v>14536000000</v>
      </c>
      <c r="H44" s="23" t="s">
        <v>1101</v>
      </c>
      <c r="I44" s="23" t="s">
        <v>1983</v>
      </c>
      <c r="J44" s="26">
        <v>15.844239999999999</v>
      </c>
      <c r="K44" s="23" t="s">
        <v>189</v>
      </c>
      <c r="L44" s="25" t="s">
        <v>120</v>
      </c>
      <c r="M44" s="23" t="s">
        <v>1984</v>
      </c>
      <c r="N44" s="23" t="s">
        <v>1997</v>
      </c>
      <c r="O44" s="23" t="s">
        <v>1195</v>
      </c>
      <c r="P44" s="23"/>
      <c r="Q44" s="23" t="s">
        <v>1934</v>
      </c>
      <c r="R44" s="23" t="s">
        <v>1998</v>
      </c>
      <c r="S44" s="23" t="s">
        <v>349</v>
      </c>
      <c r="T44" s="23" t="s">
        <v>1801</v>
      </c>
      <c r="U44" s="23" t="s">
        <v>1987</v>
      </c>
      <c r="V44" s="23" t="s">
        <v>260</v>
      </c>
      <c r="W44" s="23" t="s">
        <v>261</v>
      </c>
      <c r="X44" s="23" t="s">
        <v>262</v>
      </c>
      <c r="Y44" s="23" t="s">
        <v>263</v>
      </c>
      <c r="Z44" s="23" t="s">
        <v>264</v>
      </c>
    </row>
    <row r="45" spans="1:26" ht="57" customHeight="1">
      <c r="A45" s="23" t="s">
        <v>1146</v>
      </c>
      <c r="B45" s="23" t="s">
        <v>1147</v>
      </c>
      <c r="C45" s="24" t="s">
        <v>1148</v>
      </c>
      <c r="D45" s="46" t="s">
        <v>1803</v>
      </c>
      <c r="E45" s="46" t="s">
        <v>1100</v>
      </c>
      <c r="F45" s="23" t="s">
        <v>1100</v>
      </c>
      <c r="G45" s="23">
        <v>22514940000</v>
      </c>
      <c r="H45" s="23" t="s">
        <v>1101</v>
      </c>
      <c r="I45" s="23" t="s">
        <v>1983</v>
      </c>
      <c r="J45" s="26">
        <v>24.541284600000001</v>
      </c>
      <c r="K45" s="23" t="s">
        <v>189</v>
      </c>
      <c r="L45" s="25" t="s">
        <v>120</v>
      </c>
      <c r="M45" s="23" t="s">
        <v>1984</v>
      </c>
      <c r="N45" s="23" t="s">
        <v>1999</v>
      </c>
      <c r="O45" s="23" t="s">
        <v>1149</v>
      </c>
      <c r="P45" s="23"/>
      <c r="Q45" s="23" t="s">
        <v>1934</v>
      </c>
      <c r="R45" s="23" t="s">
        <v>2000</v>
      </c>
      <c r="S45" s="23" t="s">
        <v>349</v>
      </c>
      <c r="T45" s="23" t="s">
        <v>1801</v>
      </c>
      <c r="U45" s="23" t="s">
        <v>1987</v>
      </c>
      <c r="V45" s="23" t="s">
        <v>260</v>
      </c>
      <c r="W45" s="23" t="s">
        <v>261</v>
      </c>
      <c r="X45" s="23" t="s">
        <v>262</v>
      </c>
      <c r="Y45" s="23" t="s">
        <v>263</v>
      </c>
      <c r="Z45" s="23" t="s">
        <v>264</v>
      </c>
    </row>
    <row r="46" spans="1:26" ht="57" customHeight="1">
      <c r="A46" s="23" t="s">
        <v>1169</v>
      </c>
      <c r="B46" s="23" t="s">
        <v>1170</v>
      </c>
      <c r="C46" s="24" t="s">
        <v>1171</v>
      </c>
      <c r="D46" s="46" t="s">
        <v>1803</v>
      </c>
      <c r="E46" s="46" t="s">
        <v>1100</v>
      </c>
      <c r="F46" s="23" t="s">
        <v>1100</v>
      </c>
      <c r="G46" s="23">
        <v>28897730000</v>
      </c>
      <c r="H46" s="23" t="s">
        <v>1101</v>
      </c>
      <c r="I46" s="23" t="s">
        <v>1983</v>
      </c>
      <c r="J46" s="26">
        <v>31.498525699999998</v>
      </c>
      <c r="K46" s="23" t="s">
        <v>189</v>
      </c>
      <c r="L46" s="25" t="s">
        <v>120</v>
      </c>
      <c r="M46" s="23" t="s">
        <v>1984</v>
      </c>
      <c r="N46" s="23" t="s">
        <v>2001</v>
      </c>
      <c r="O46" s="23" t="s">
        <v>1172</v>
      </c>
      <c r="P46" s="23"/>
      <c r="Q46" s="23" t="s">
        <v>1934</v>
      </c>
      <c r="R46" s="23" t="s">
        <v>2002</v>
      </c>
      <c r="S46" s="23" t="s">
        <v>349</v>
      </c>
      <c r="T46" s="23" t="s">
        <v>1801</v>
      </c>
      <c r="U46" s="23" t="s">
        <v>1987</v>
      </c>
      <c r="V46" s="23" t="s">
        <v>260</v>
      </c>
      <c r="W46" s="23" t="s">
        <v>261</v>
      </c>
      <c r="X46" s="23" t="s">
        <v>262</v>
      </c>
      <c r="Y46" s="23" t="s">
        <v>263</v>
      </c>
      <c r="Z46" s="23" t="s">
        <v>264</v>
      </c>
    </row>
    <row r="47" spans="1:26" ht="57" customHeight="1">
      <c r="A47" s="23" t="s">
        <v>1180</v>
      </c>
      <c r="B47" s="23" t="s">
        <v>1181</v>
      </c>
      <c r="C47" s="24" t="s">
        <v>1182</v>
      </c>
      <c r="D47" s="46" t="s">
        <v>1803</v>
      </c>
      <c r="E47" s="46" t="s">
        <v>1100</v>
      </c>
      <c r="F47" s="23" t="s">
        <v>1100</v>
      </c>
      <c r="G47" s="23">
        <v>57015710000</v>
      </c>
      <c r="H47" s="23" t="s">
        <v>1101</v>
      </c>
      <c r="I47" s="23" t="s">
        <v>1983</v>
      </c>
      <c r="J47" s="26">
        <v>62.147123899999997</v>
      </c>
      <c r="K47" s="23" t="s">
        <v>189</v>
      </c>
      <c r="L47" s="25" t="s">
        <v>120</v>
      </c>
      <c r="M47" s="23" t="s">
        <v>1984</v>
      </c>
      <c r="N47" s="23" t="s">
        <v>2003</v>
      </c>
      <c r="O47" s="23" t="s">
        <v>1183</v>
      </c>
      <c r="P47" s="23"/>
      <c r="Q47" s="23" t="s">
        <v>1934</v>
      </c>
      <c r="R47" s="23" t="s">
        <v>2004</v>
      </c>
      <c r="S47" s="23" t="s">
        <v>349</v>
      </c>
      <c r="T47" s="23" t="s">
        <v>1801</v>
      </c>
      <c r="U47" s="23" t="s">
        <v>1987</v>
      </c>
      <c r="V47" s="23" t="s">
        <v>123</v>
      </c>
      <c r="W47" s="23" t="s">
        <v>124</v>
      </c>
      <c r="X47" s="23" t="s">
        <v>262</v>
      </c>
      <c r="Y47" s="23" t="s">
        <v>263</v>
      </c>
      <c r="Z47" s="23" t="s">
        <v>264</v>
      </c>
    </row>
    <row r="48" spans="1:26" ht="85.5" customHeight="1">
      <c r="A48" s="23" t="s">
        <v>1230</v>
      </c>
      <c r="B48" s="23" t="s">
        <v>1231</v>
      </c>
      <c r="C48" s="24" t="s">
        <v>1232</v>
      </c>
      <c r="D48" s="46" t="s">
        <v>1803</v>
      </c>
      <c r="E48" s="46" t="s">
        <v>1233</v>
      </c>
      <c r="F48" s="23" t="s">
        <v>1234</v>
      </c>
      <c r="G48" s="23">
        <v>13488000000000</v>
      </c>
      <c r="H48" s="23" t="s">
        <v>1235</v>
      </c>
      <c r="I48" s="23" t="s">
        <v>2005</v>
      </c>
      <c r="J48" s="26">
        <v>173.993808049536</v>
      </c>
      <c r="K48" s="23" t="s">
        <v>431</v>
      </c>
      <c r="L48" s="25" t="s">
        <v>120</v>
      </c>
      <c r="M48" s="23" t="s">
        <v>1390</v>
      </c>
      <c r="N48" s="23" t="s">
        <v>2006</v>
      </c>
      <c r="O48" s="23" t="s">
        <v>1236</v>
      </c>
      <c r="P48" s="23"/>
      <c r="Q48" s="23" t="s">
        <v>1810</v>
      </c>
      <c r="R48" s="23" t="s">
        <v>2007</v>
      </c>
      <c r="S48" s="23" t="s">
        <v>349</v>
      </c>
      <c r="T48" s="23" t="s">
        <v>1801</v>
      </c>
      <c r="U48" s="24" t="s">
        <v>2008</v>
      </c>
      <c r="V48" s="23" t="s">
        <v>123</v>
      </c>
      <c r="W48" s="23" t="s">
        <v>124</v>
      </c>
      <c r="X48" s="23" t="s">
        <v>262</v>
      </c>
      <c r="Y48" s="23" t="s">
        <v>263</v>
      </c>
      <c r="Z48" s="23" t="s">
        <v>128</v>
      </c>
    </row>
    <row r="49" spans="1:26" ht="85.5" customHeight="1">
      <c r="A49" s="23" t="s">
        <v>217</v>
      </c>
      <c r="B49" s="23" t="s">
        <v>55</v>
      </c>
      <c r="C49" s="24" t="s">
        <v>218</v>
      </c>
      <c r="D49" s="46" t="s">
        <v>1803</v>
      </c>
      <c r="E49" s="46" t="s">
        <v>2009</v>
      </c>
      <c r="F49" s="23" t="s">
        <v>2010</v>
      </c>
      <c r="G49" s="23">
        <v>2781511000000</v>
      </c>
      <c r="H49" s="23" t="s">
        <v>221</v>
      </c>
      <c r="I49" s="23" t="s">
        <v>2011</v>
      </c>
      <c r="J49" s="26">
        <v>47.957086206896598</v>
      </c>
      <c r="K49" s="23" t="s">
        <v>189</v>
      </c>
      <c r="L49" s="25" t="s">
        <v>120</v>
      </c>
      <c r="M49" s="23" t="s">
        <v>1889</v>
      </c>
      <c r="N49" s="23" t="s">
        <v>2012</v>
      </c>
      <c r="O49" s="23" t="s">
        <v>2013</v>
      </c>
      <c r="P49" s="23"/>
      <c r="Q49" s="23" t="s">
        <v>1810</v>
      </c>
      <c r="R49" s="23" t="s">
        <v>2014</v>
      </c>
      <c r="S49" s="23" t="s">
        <v>349</v>
      </c>
      <c r="T49" s="23" t="s">
        <v>1801</v>
      </c>
      <c r="U49" s="24" t="s">
        <v>2015</v>
      </c>
      <c r="V49" s="23" t="s">
        <v>123</v>
      </c>
      <c r="W49" s="23" t="s">
        <v>124</v>
      </c>
      <c r="X49" s="23" t="s">
        <v>152</v>
      </c>
      <c r="Y49" s="23" t="s">
        <v>153</v>
      </c>
      <c r="Z49" s="23" t="s">
        <v>128</v>
      </c>
    </row>
    <row r="50" spans="1:26" ht="85.5" customHeight="1">
      <c r="A50" s="23" t="s">
        <v>142</v>
      </c>
      <c r="B50" s="23" t="s">
        <v>143</v>
      </c>
      <c r="C50" s="24" t="s">
        <v>144</v>
      </c>
      <c r="D50" s="44" t="s">
        <v>1795</v>
      </c>
      <c r="E50" s="44" t="s">
        <v>2016</v>
      </c>
      <c r="F50" s="23" t="s">
        <v>2017</v>
      </c>
      <c r="G50" s="23">
        <v>722900000000</v>
      </c>
      <c r="H50" s="23" t="s">
        <v>147</v>
      </c>
      <c r="I50" s="24" t="s">
        <v>2018</v>
      </c>
      <c r="J50" s="26">
        <v>107.096296296296</v>
      </c>
      <c r="K50" s="23" t="s">
        <v>157</v>
      </c>
      <c r="L50" s="25" t="s">
        <v>120</v>
      </c>
      <c r="M50" s="24" t="s">
        <v>2019</v>
      </c>
      <c r="N50" s="23" t="s">
        <v>1403</v>
      </c>
      <c r="O50" s="23" t="s">
        <v>158</v>
      </c>
      <c r="P50" s="23"/>
      <c r="Q50" s="23" t="s">
        <v>1835</v>
      </c>
      <c r="R50" s="24" t="s">
        <v>2020</v>
      </c>
      <c r="S50" s="23" t="s">
        <v>349</v>
      </c>
      <c r="T50" s="23" t="s">
        <v>1801</v>
      </c>
      <c r="U50" s="23" t="s">
        <v>2021</v>
      </c>
      <c r="V50" s="23" t="s">
        <v>123</v>
      </c>
      <c r="W50" s="23" t="s">
        <v>124</v>
      </c>
      <c r="X50" s="23" t="s">
        <v>152</v>
      </c>
      <c r="Y50" s="23" t="s">
        <v>153</v>
      </c>
      <c r="Z50" s="23" t="s">
        <v>128</v>
      </c>
    </row>
    <row r="51" spans="1:26" ht="71.25" customHeight="1">
      <c r="A51" s="23" t="s">
        <v>1024</v>
      </c>
      <c r="B51" s="23" t="s">
        <v>1025</v>
      </c>
      <c r="C51" s="24" t="s">
        <v>1026</v>
      </c>
      <c r="D51" s="44" t="s">
        <v>1795</v>
      </c>
      <c r="E51" s="44" t="s">
        <v>893</v>
      </c>
      <c r="F51" s="23" t="s">
        <v>894</v>
      </c>
      <c r="G51" s="23">
        <v>246984300000</v>
      </c>
      <c r="H51" s="23" t="s">
        <v>895</v>
      </c>
      <c r="I51" s="23" t="s">
        <v>2022</v>
      </c>
      <c r="J51" s="26">
        <v>0.41164050000000002</v>
      </c>
      <c r="K51" s="23" t="s">
        <v>157</v>
      </c>
      <c r="L51" s="25" t="s">
        <v>120</v>
      </c>
      <c r="M51" s="23" t="s">
        <v>1342</v>
      </c>
      <c r="N51" s="23" t="s">
        <v>2023</v>
      </c>
      <c r="O51" s="23" t="s">
        <v>896</v>
      </c>
      <c r="P51" s="23" t="s">
        <v>897</v>
      </c>
      <c r="Q51" s="23" t="s">
        <v>1799</v>
      </c>
      <c r="R51" s="23" t="s">
        <v>2024</v>
      </c>
      <c r="S51" s="23" t="s">
        <v>349</v>
      </c>
      <c r="T51" s="23" t="s">
        <v>1801</v>
      </c>
      <c r="U51" s="24" t="s">
        <v>2025</v>
      </c>
      <c r="V51" s="23" t="s">
        <v>123</v>
      </c>
      <c r="W51" s="23" t="s">
        <v>124</v>
      </c>
      <c r="X51" s="23" t="s">
        <v>125</v>
      </c>
      <c r="Y51" s="23" t="s">
        <v>126</v>
      </c>
      <c r="Z51" s="23" t="s">
        <v>128</v>
      </c>
    </row>
    <row r="52" spans="1:26" ht="71.25" customHeight="1">
      <c r="A52" s="23" t="s">
        <v>1031</v>
      </c>
      <c r="B52" s="23" t="s">
        <v>1032</v>
      </c>
      <c r="C52" s="24" t="s">
        <v>1033</v>
      </c>
      <c r="D52" s="44" t="s">
        <v>1795</v>
      </c>
      <c r="E52" s="44" t="s">
        <v>893</v>
      </c>
      <c r="F52" s="23" t="s">
        <v>894</v>
      </c>
      <c r="G52" s="23">
        <v>428265500000</v>
      </c>
      <c r="H52" s="23" t="s">
        <v>895</v>
      </c>
      <c r="I52" s="23" t="s">
        <v>2022</v>
      </c>
      <c r="J52" s="26">
        <v>0.71377583333333305</v>
      </c>
      <c r="K52" s="23" t="s">
        <v>157</v>
      </c>
      <c r="L52" s="25" t="s">
        <v>120</v>
      </c>
      <c r="M52" s="23" t="s">
        <v>1342</v>
      </c>
      <c r="N52" s="23" t="s">
        <v>2023</v>
      </c>
      <c r="O52" s="23" t="s">
        <v>896</v>
      </c>
      <c r="P52" s="23" t="s">
        <v>897</v>
      </c>
      <c r="Q52" s="23" t="s">
        <v>1799</v>
      </c>
      <c r="R52" s="23" t="s">
        <v>2026</v>
      </c>
      <c r="S52" s="23" t="s">
        <v>349</v>
      </c>
      <c r="T52" s="23" t="s">
        <v>1801</v>
      </c>
      <c r="U52" s="24" t="s">
        <v>2025</v>
      </c>
      <c r="V52" s="23" t="s">
        <v>123</v>
      </c>
      <c r="W52" s="23" t="s">
        <v>124</v>
      </c>
      <c r="X52" s="23" t="s">
        <v>660</v>
      </c>
      <c r="Y52" s="23" t="s">
        <v>661</v>
      </c>
      <c r="Z52" s="23" t="s">
        <v>128</v>
      </c>
    </row>
    <row r="53" spans="1:26" ht="71.25" customHeight="1">
      <c r="A53" s="23" t="s">
        <v>890</v>
      </c>
      <c r="B53" s="23" t="s">
        <v>891</v>
      </c>
      <c r="C53" s="24" t="s">
        <v>892</v>
      </c>
      <c r="D53" s="44" t="s">
        <v>1795</v>
      </c>
      <c r="E53" s="44" t="s">
        <v>893</v>
      </c>
      <c r="F53" s="23" t="s">
        <v>894</v>
      </c>
      <c r="G53" s="23">
        <v>721221600000</v>
      </c>
      <c r="H53" s="23" t="s">
        <v>895</v>
      </c>
      <c r="I53" s="23" t="s">
        <v>2022</v>
      </c>
      <c r="J53" s="26">
        <v>1.2020360000000001</v>
      </c>
      <c r="K53" s="23" t="s">
        <v>157</v>
      </c>
      <c r="L53" s="25" t="s">
        <v>120</v>
      </c>
      <c r="M53" s="23" t="s">
        <v>1342</v>
      </c>
      <c r="N53" s="23" t="s">
        <v>2023</v>
      </c>
      <c r="O53" s="23" t="s">
        <v>896</v>
      </c>
      <c r="P53" s="23" t="s">
        <v>897</v>
      </c>
      <c r="Q53" s="23" t="s">
        <v>1799</v>
      </c>
      <c r="R53" s="23" t="s">
        <v>2027</v>
      </c>
      <c r="S53" s="23" t="s">
        <v>349</v>
      </c>
      <c r="T53" s="23" t="s">
        <v>1801</v>
      </c>
      <c r="U53" s="24" t="s">
        <v>2025</v>
      </c>
      <c r="V53" s="23" t="s">
        <v>123</v>
      </c>
      <c r="W53" s="23" t="s">
        <v>124</v>
      </c>
      <c r="X53" s="23" t="s">
        <v>125</v>
      </c>
      <c r="Y53" s="23" t="s">
        <v>126</v>
      </c>
      <c r="Z53" s="23" t="s">
        <v>128</v>
      </c>
    </row>
    <row r="54" spans="1:26" ht="71.25" customHeight="1">
      <c r="A54" s="23" t="s">
        <v>1034</v>
      </c>
      <c r="B54" s="23" t="s">
        <v>1035</v>
      </c>
      <c r="C54" s="24" t="s">
        <v>1036</v>
      </c>
      <c r="D54" s="44" t="s">
        <v>1795</v>
      </c>
      <c r="E54" s="44" t="s">
        <v>893</v>
      </c>
      <c r="F54" s="23" t="s">
        <v>894</v>
      </c>
      <c r="G54" s="23">
        <v>203501200000</v>
      </c>
      <c r="H54" s="23" t="s">
        <v>895</v>
      </c>
      <c r="I54" s="23" t="s">
        <v>2022</v>
      </c>
      <c r="J54" s="26">
        <v>0.33916866666666701</v>
      </c>
      <c r="K54" s="23" t="s">
        <v>157</v>
      </c>
      <c r="L54" s="25" t="s">
        <v>120</v>
      </c>
      <c r="M54" s="23" t="s">
        <v>1342</v>
      </c>
      <c r="N54" s="23" t="s">
        <v>2023</v>
      </c>
      <c r="O54" s="23" t="s">
        <v>896</v>
      </c>
      <c r="P54" s="23" t="s">
        <v>897</v>
      </c>
      <c r="Q54" s="23" t="s">
        <v>1799</v>
      </c>
      <c r="R54" s="23" t="s">
        <v>2028</v>
      </c>
      <c r="S54" s="23" t="s">
        <v>349</v>
      </c>
      <c r="T54" s="23" t="s">
        <v>1801</v>
      </c>
      <c r="U54" s="24" t="s">
        <v>2025</v>
      </c>
      <c r="V54" s="23" t="s">
        <v>123</v>
      </c>
      <c r="W54" s="23" t="s">
        <v>124</v>
      </c>
      <c r="X54" s="23" t="s">
        <v>660</v>
      </c>
      <c r="Y54" s="23" t="s">
        <v>661</v>
      </c>
      <c r="Z54" s="23" t="s">
        <v>128</v>
      </c>
    </row>
    <row r="55" spans="1:26" ht="71.25" customHeight="1">
      <c r="A55" s="23" t="s">
        <v>903</v>
      </c>
      <c r="B55" s="23" t="s">
        <v>904</v>
      </c>
      <c r="C55" s="24" t="s">
        <v>905</v>
      </c>
      <c r="D55" s="44" t="s">
        <v>1795</v>
      </c>
      <c r="E55" s="44" t="s">
        <v>893</v>
      </c>
      <c r="F55" s="23" t="s">
        <v>894</v>
      </c>
      <c r="G55" s="23">
        <v>805217300000</v>
      </c>
      <c r="H55" s="23" t="s">
        <v>895</v>
      </c>
      <c r="I55" s="23" t="s">
        <v>2022</v>
      </c>
      <c r="J55" s="26">
        <v>1.3420288333333299</v>
      </c>
      <c r="K55" s="23" t="s">
        <v>157</v>
      </c>
      <c r="L55" s="25" t="s">
        <v>120</v>
      </c>
      <c r="M55" s="23" t="s">
        <v>1342</v>
      </c>
      <c r="N55" s="23" t="s">
        <v>2023</v>
      </c>
      <c r="O55" s="23" t="s">
        <v>896</v>
      </c>
      <c r="P55" s="23" t="s">
        <v>897</v>
      </c>
      <c r="Q55" s="23" t="s">
        <v>1799</v>
      </c>
      <c r="R55" s="23" t="s">
        <v>2029</v>
      </c>
      <c r="S55" s="23" t="s">
        <v>349</v>
      </c>
      <c r="T55" s="23" t="s">
        <v>1801</v>
      </c>
      <c r="U55" s="24" t="s">
        <v>2025</v>
      </c>
      <c r="V55" s="23" t="s">
        <v>123</v>
      </c>
      <c r="W55" s="23" t="s">
        <v>124</v>
      </c>
      <c r="X55" s="23" t="s">
        <v>125</v>
      </c>
      <c r="Y55" s="23" t="s">
        <v>126</v>
      </c>
      <c r="Z55" s="23" t="s">
        <v>128</v>
      </c>
    </row>
    <row r="56" spans="1:26" ht="85.5" customHeight="1">
      <c r="A56" s="23" t="s">
        <v>839</v>
      </c>
      <c r="B56" s="23" t="s">
        <v>840</v>
      </c>
      <c r="C56" s="24" t="s">
        <v>841</v>
      </c>
      <c r="D56" s="42" t="s">
        <v>1818</v>
      </c>
      <c r="E56" s="42" t="s">
        <v>842</v>
      </c>
      <c r="F56" s="23" t="s">
        <v>843</v>
      </c>
      <c r="G56" s="23">
        <v>1377460000000</v>
      </c>
      <c r="H56" s="23" t="s">
        <v>844</v>
      </c>
      <c r="I56" s="23" t="s">
        <v>2030</v>
      </c>
      <c r="J56" s="26">
        <v>0.54018039215686298</v>
      </c>
      <c r="K56" s="23" t="s">
        <v>283</v>
      </c>
      <c r="L56" s="25" t="s">
        <v>120</v>
      </c>
      <c r="M56" s="23" t="s">
        <v>1334</v>
      </c>
      <c r="N56" s="23" t="s">
        <v>1634</v>
      </c>
      <c r="O56" s="23" t="s">
        <v>845</v>
      </c>
      <c r="P56" s="23" t="s">
        <v>846</v>
      </c>
      <c r="Q56" s="23" t="s">
        <v>1799</v>
      </c>
      <c r="R56" s="23" t="s">
        <v>2031</v>
      </c>
      <c r="S56" s="23" t="s">
        <v>349</v>
      </c>
      <c r="T56" s="23" t="s">
        <v>1801</v>
      </c>
      <c r="U56" s="23" t="s">
        <v>1343</v>
      </c>
      <c r="V56" s="23" t="s">
        <v>123</v>
      </c>
      <c r="W56" s="23" t="s">
        <v>124</v>
      </c>
      <c r="X56" s="23" t="s">
        <v>125</v>
      </c>
      <c r="Y56" s="23" t="s">
        <v>126</v>
      </c>
      <c r="Z56" s="23" t="s">
        <v>128</v>
      </c>
    </row>
    <row r="57" spans="1:26" ht="71.25" customHeight="1">
      <c r="A57" s="23" t="s">
        <v>866</v>
      </c>
      <c r="B57" s="23" t="s">
        <v>867</v>
      </c>
      <c r="C57" s="24" t="s">
        <v>868</v>
      </c>
      <c r="D57" s="44" t="s">
        <v>1795</v>
      </c>
      <c r="E57" s="44" t="s">
        <v>869</v>
      </c>
      <c r="F57" s="23" t="s">
        <v>870</v>
      </c>
      <c r="G57" s="23">
        <v>611600000000</v>
      </c>
      <c r="H57" s="23" t="s">
        <v>871</v>
      </c>
      <c r="I57" s="23" t="s">
        <v>2032</v>
      </c>
      <c r="J57" s="26">
        <v>0.45303703703703702</v>
      </c>
      <c r="K57" s="23" t="s">
        <v>445</v>
      </c>
      <c r="L57" s="25" t="s">
        <v>120</v>
      </c>
      <c r="M57" s="23" t="s">
        <v>1338</v>
      </c>
      <c r="N57" s="23" t="s">
        <v>1651</v>
      </c>
      <c r="O57" s="23" t="s">
        <v>872</v>
      </c>
      <c r="P57" s="23"/>
      <c r="Q57" s="23" t="s">
        <v>1799</v>
      </c>
      <c r="R57" s="23" t="s">
        <v>2033</v>
      </c>
      <c r="S57" s="23" t="s">
        <v>349</v>
      </c>
      <c r="T57" s="23" t="s">
        <v>1801</v>
      </c>
      <c r="U57" s="24" t="s">
        <v>2034</v>
      </c>
      <c r="V57" s="23" t="s">
        <v>123</v>
      </c>
      <c r="W57" s="23" t="s">
        <v>124</v>
      </c>
      <c r="X57" s="23" t="s">
        <v>660</v>
      </c>
      <c r="Y57" s="23" t="s">
        <v>661</v>
      </c>
      <c r="Z57" s="23" t="s">
        <v>128</v>
      </c>
    </row>
    <row r="58" spans="1:26" ht="57" customHeight="1">
      <c r="A58" s="23" t="s">
        <v>960</v>
      </c>
      <c r="B58" s="23" t="s">
        <v>961</v>
      </c>
      <c r="C58" s="24" t="s">
        <v>962</v>
      </c>
      <c r="D58" s="44" t="s">
        <v>1795</v>
      </c>
      <c r="E58" s="44" t="s">
        <v>963</v>
      </c>
      <c r="F58" s="23" t="s">
        <v>964</v>
      </c>
      <c r="G58" s="23">
        <v>7190000000</v>
      </c>
      <c r="H58" s="23" t="s">
        <v>965</v>
      </c>
      <c r="I58" s="23" t="s">
        <v>2035</v>
      </c>
      <c r="J58" s="26">
        <v>0.27132075471698103</v>
      </c>
      <c r="K58" s="23" t="s">
        <v>283</v>
      </c>
      <c r="L58" s="25" t="s">
        <v>120</v>
      </c>
      <c r="M58" s="23" t="s">
        <v>1351</v>
      </c>
      <c r="N58" s="23" t="s">
        <v>2036</v>
      </c>
      <c r="O58" s="23" t="s">
        <v>966</v>
      </c>
      <c r="P58" s="23"/>
      <c r="Q58" s="23" t="s">
        <v>1799</v>
      </c>
      <c r="R58" s="23" t="s">
        <v>2037</v>
      </c>
      <c r="S58" s="23" t="s">
        <v>349</v>
      </c>
      <c r="T58" s="23" t="s">
        <v>1801</v>
      </c>
      <c r="U58" s="23" t="s">
        <v>2038</v>
      </c>
      <c r="V58" s="23" t="s">
        <v>123</v>
      </c>
      <c r="W58" s="23" t="s">
        <v>124</v>
      </c>
      <c r="X58" s="23" t="s">
        <v>125</v>
      </c>
      <c r="Y58" s="23" t="s">
        <v>126</v>
      </c>
      <c r="Z58" s="23" t="s">
        <v>128</v>
      </c>
    </row>
    <row r="59" spans="1:26" ht="57" customHeight="1">
      <c r="A59" s="23" t="s">
        <v>909</v>
      </c>
      <c r="B59" s="23" t="s">
        <v>910</v>
      </c>
      <c r="C59" s="24" t="s">
        <v>911</v>
      </c>
      <c r="D59" s="44" t="s">
        <v>1795</v>
      </c>
      <c r="E59" s="44" t="s">
        <v>912</v>
      </c>
      <c r="F59" s="23" t="s">
        <v>913</v>
      </c>
      <c r="G59" s="23">
        <v>659411000000</v>
      </c>
      <c r="H59" s="23" t="s">
        <v>914</v>
      </c>
      <c r="I59" s="23" t="s">
        <v>2039</v>
      </c>
      <c r="J59" s="26">
        <v>1.0990183333333301</v>
      </c>
      <c r="K59" s="23" t="s">
        <v>445</v>
      </c>
      <c r="L59" s="25" t="s">
        <v>120</v>
      </c>
      <c r="M59" s="23" t="s">
        <v>2040</v>
      </c>
      <c r="N59" s="23" t="s">
        <v>2041</v>
      </c>
      <c r="O59" s="23" t="s">
        <v>915</v>
      </c>
      <c r="P59" s="23"/>
      <c r="Q59" s="23" t="s">
        <v>1799</v>
      </c>
      <c r="R59" s="23" t="s">
        <v>2042</v>
      </c>
      <c r="S59" s="23" t="s">
        <v>349</v>
      </c>
      <c r="T59" s="23" t="s">
        <v>1801</v>
      </c>
      <c r="U59" s="23"/>
      <c r="V59" s="23" t="s">
        <v>123</v>
      </c>
      <c r="W59" s="23" t="s">
        <v>124</v>
      </c>
      <c r="X59" s="23" t="s">
        <v>125</v>
      </c>
      <c r="Y59" s="23" t="s">
        <v>126</v>
      </c>
      <c r="Z59" s="23" t="s">
        <v>128</v>
      </c>
    </row>
    <row r="60" spans="1:26" ht="57" customHeight="1">
      <c r="A60" s="23" t="s">
        <v>1045</v>
      </c>
      <c r="B60" s="23" t="s">
        <v>1046</v>
      </c>
      <c r="C60" s="24" t="s">
        <v>1047</v>
      </c>
      <c r="D60" s="44" t="s">
        <v>1795</v>
      </c>
      <c r="E60" s="44" t="s">
        <v>912</v>
      </c>
      <c r="F60" s="23" t="s">
        <v>913</v>
      </c>
      <c r="G60" s="23">
        <v>112302000000</v>
      </c>
      <c r="H60" s="23" t="s">
        <v>914</v>
      </c>
      <c r="I60" s="23" t="s">
        <v>2039</v>
      </c>
      <c r="J60" s="26">
        <v>0.18717</v>
      </c>
      <c r="K60" s="23" t="s">
        <v>445</v>
      </c>
      <c r="L60" s="25" t="s">
        <v>120</v>
      </c>
      <c r="M60" s="23" t="s">
        <v>2040</v>
      </c>
      <c r="N60" s="23" t="s">
        <v>2041</v>
      </c>
      <c r="O60" s="23" t="s">
        <v>915</v>
      </c>
      <c r="P60" s="23"/>
      <c r="Q60" s="23" t="s">
        <v>1799</v>
      </c>
      <c r="R60" s="23" t="s">
        <v>2043</v>
      </c>
      <c r="S60" s="23" t="s">
        <v>349</v>
      </c>
      <c r="T60" s="23" t="s">
        <v>1801</v>
      </c>
      <c r="U60" s="23"/>
      <c r="V60" s="23" t="s">
        <v>123</v>
      </c>
      <c r="W60" s="23" t="s">
        <v>124</v>
      </c>
      <c r="X60" s="23" t="s">
        <v>152</v>
      </c>
      <c r="Y60" s="23" t="s">
        <v>153</v>
      </c>
      <c r="Z60" s="23" t="s">
        <v>128</v>
      </c>
    </row>
    <row r="61" spans="1:26" ht="57" customHeight="1">
      <c r="A61" s="23" t="s">
        <v>878</v>
      </c>
      <c r="B61" s="23" t="s">
        <v>879</v>
      </c>
      <c r="C61" s="24" t="s">
        <v>880</v>
      </c>
      <c r="D61" s="44" t="s">
        <v>1795</v>
      </c>
      <c r="E61" s="44" t="s">
        <v>881</v>
      </c>
      <c r="F61" s="23" t="s">
        <v>882</v>
      </c>
      <c r="G61" s="23">
        <v>48900000000</v>
      </c>
      <c r="H61" s="23" t="s">
        <v>883</v>
      </c>
      <c r="I61" s="23" t="s">
        <v>2044</v>
      </c>
      <c r="J61" s="26">
        <v>0.37615384615384601</v>
      </c>
      <c r="K61" s="23" t="s">
        <v>175</v>
      </c>
      <c r="L61" s="25" t="s">
        <v>120</v>
      </c>
      <c r="M61" s="23" t="s">
        <v>2045</v>
      </c>
      <c r="N61" s="23" t="s">
        <v>1656</v>
      </c>
      <c r="O61" s="23" t="s">
        <v>884</v>
      </c>
      <c r="P61" s="23"/>
      <c r="Q61" s="23" t="s">
        <v>1799</v>
      </c>
      <c r="R61" s="23" t="s">
        <v>2046</v>
      </c>
      <c r="S61" s="23" t="s">
        <v>349</v>
      </c>
      <c r="T61" s="23" t="s">
        <v>1801</v>
      </c>
      <c r="U61" s="23" t="s">
        <v>2047</v>
      </c>
      <c r="V61" s="23" t="s">
        <v>123</v>
      </c>
      <c r="W61" s="23" t="s">
        <v>124</v>
      </c>
      <c r="X61" s="23" t="s">
        <v>660</v>
      </c>
      <c r="Y61" s="23" t="s">
        <v>661</v>
      </c>
      <c r="Z61" s="23" t="s">
        <v>128</v>
      </c>
    </row>
    <row r="62" spans="1:26" ht="57" customHeight="1">
      <c r="A62" s="23" t="s">
        <v>972</v>
      </c>
      <c r="B62" s="23" t="s">
        <v>973</v>
      </c>
      <c r="C62" s="24" t="s">
        <v>974</v>
      </c>
      <c r="D62" s="42" t="s">
        <v>1818</v>
      </c>
      <c r="E62" s="42" t="s">
        <v>975</v>
      </c>
      <c r="F62" s="23" t="s">
        <v>976</v>
      </c>
      <c r="G62" s="23">
        <v>8500000000</v>
      </c>
      <c r="H62" s="23" t="s">
        <v>977</v>
      </c>
      <c r="I62" s="23" t="s">
        <v>2048</v>
      </c>
      <c r="J62" s="26">
        <v>0.60844667143879705</v>
      </c>
      <c r="K62" s="23" t="s">
        <v>445</v>
      </c>
      <c r="L62" s="25" t="s">
        <v>120</v>
      </c>
      <c r="M62" s="23" t="s">
        <v>1353</v>
      </c>
      <c r="N62" s="23" t="s">
        <v>2049</v>
      </c>
      <c r="O62" s="23" t="s">
        <v>978</v>
      </c>
      <c r="P62" s="23"/>
      <c r="Q62" s="23" t="s">
        <v>1799</v>
      </c>
      <c r="R62" s="23" t="s">
        <v>2050</v>
      </c>
      <c r="S62" s="23" t="s">
        <v>349</v>
      </c>
      <c r="T62" s="23" t="s">
        <v>1801</v>
      </c>
      <c r="U62" s="24" t="s">
        <v>2051</v>
      </c>
      <c r="V62" s="23" t="s">
        <v>123</v>
      </c>
      <c r="W62" s="23" t="s">
        <v>124</v>
      </c>
      <c r="X62" s="23" t="s">
        <v>152</v>
      </c>
      <c r="Y62" s="23" t="s">
        <v>153</v>
      </c>
      <c r="Z62" s="23" t="s">
        <v>128</v>
      </c>
    </row>
    <row r="63" spans="1:26" ht="57" customHeight="1">
      <c r="A63" s="23" t="s">
        <v>984</v>
      </c>
      <c r="B63" s="23" t="s">
        <v>985</v>
      </c>
      <c r="C63" s="24" t="s">
        <v>986</v>
      </c>
      <c r="D63" s="42" t="s">
        <v>1818</v>
      </c>
      <c r="E63" s="42" t="s">
        <v>987</v>
      </c>
      <c r="F63" s="23" t="s">
        <v>988</v>
      </c>
      <c r="G63" s="23">
        <v>7500000000</v>
      </c>
      <c r="H63" s="23" t="s">
        <v>989</v>
      </c>
      <c r="I63" s="23" t="s">
        <v>2052</v>
      </c>
      <c r="J63" s="26">
        <v>0.41666666666666702</v>
      </c>
      <c r="K63" s="23" t="s">
        <v>283</v>
      </c>
      <c r="L63" s="27" t="s">
        <v>149</v>
      </c>
      <c r="M63" s="23" t="s">
        <v>2053</v>
      </c>
      <c r="N63" s="23" t="s">
        <v>2054</v>
      </c>
      <c r="O63" s="23" t="s">
        <v>990</v>
      </c>
      <c r="P63" s="23"/>
      <c r="Q63" s="23" t="s">
        <v>2055</v>
      </c>
      <c r="R63" s="23" t="s">
        <v>2056</v>
      </c>
      <c r="S63" s="23" t="s">
        <v>349</v>
      </c>
      <c r="T63" s="23" t="s">
        <v>1801</v>
      </c>
      <c r="U63" s="23" t="s">
        <v>2057</v>
      </c>
      <c r="V63" s="23" t="s">
        <v>123</v>
      </c>
      <c r="W63" s="23" t="s">
        <v>124</v>
      </c>
      <c r="X63" s="23" t="s">
        <v>125</v>
      </c>
      <c r="Y63" s="23" t="s">
        <v>126</v>
      </c>
      <c r="Z63" s="23" t="s">
        <v>128</v>
      </c>
    </row>
    <row r="64" spans="1:26" ht="57" customHeight="1">
      <c r="A64" s="23" t="s">
        <v>999</v>
      </c>
      <c r="B64" s="23" t="s">
        <v>1000</v>
      </c>
      <c r="C64" s="24" t="s">
        <v>1001</v>
      </c>
      <c r="D64" s="42" t="s">
        <v>1818</v>
      </c>
      <c r="E64" s="42" t="s">
        <v>1002</v>
      </c>
      <c r="F64" s="23" t="s">
        <v>1003</v>
      </c>
      <c r="G64" s="23">
        <v>39810000000</v>
      </c>
      <c r="H64" s="23" t="s">
        <v>1004</v>
      </c>
      <c r="I64" s="23" t="s">
        <v>2058</v>
      </c>
      <c r="J64" s="26">
        <v>0.88466666666666705</v>
      </c>
      <c r="K64" s="23" t="s">
        <v>1005</v>
      </c>
      <c r="L64" s="25" t="s">
        <v>120</v>
      </c>
      <c r="M64" s="23" t="s">
        <v>1358</v>
      </c>
      <c r="N64" s="23" t="s">
        <v>2059</v>
      </c>
      <c r="O64" s="23" t="s">
        <v>1006</v>
      </c>
      <c r="P64" s="23"/>
      <c r="Q64" s="23" t="s">
        <v>1799</v>
      </c>
      <c r="R64" s="23" t="s">
        <v>2060</v>
      </c>
      <c r="S64" s="23" t="s">
        <v>349</v>
      </c>
      <c r="T64" s="23" t="s">
        <v>1801</v>
      </c>
      <c r="U64" s="24" t="s">
        <v>2061</v>
      </c>
      <c r="V64" s="23" t="s">
        <v>123</v>
      </c>
      <c r="W64" s="23" t="s">
        <v>124</v>
      </c>
      <c r="X64" s="23" t="s">
        <v>152</v>
      </c>
      <c r="Y64" s="23" t="s">
        <v>153</v>
      </c>
      <c r="Z64" s="23" t="s">
        <v>128</v>
      </c>
    </row>
    <row r="65" spans="1:26" ht="71.25" customHeight="1">
      <c r="A65" s="23" t="s">
        <v>920</v>
      </c>
      <c r="B65" s="23" t="s">
        <v>921</v>
      </c>
      <c r="C65" s="24" t="s">
        <v>922</v>
      </c>
      <c r="D65" s="42" t="s">
        <v>1818</v>
      </c>
      <c r="E65" s="42" t="s">
        <v>923</v>
      </c>
      <c r="F65" s="23" t="s">
        <v>924</v>
      </c>
      <c r="G65" s="23">
        <v>26530000000</v>
      </c>
      <c r="H65" s="23" t="s">
        <v>925</v>
      </c>
      <c r="I65" s="23" t="s">
        <v>2062</v>
      </c>
      <c r="J65" s="26">
        <v>2.88369565217391E-2</v>
      </c>
      <c r="K65" s="23" t="s">
        <v>131</v>
      </c>
      <c r="L65" s="25" t="s">
        <v>120</v>
      </c>
      <c r="M65" s="23" t="s">
        <v>2063</v>
      </c>
      <c r="N65" s="23" t="s">
        <v>2064</v>
      </c>
      <c r="O65" s="23" t="s">
        <v>926</v>
      </c>
      <c r="P65" s="23"/>
      <c r="Q65" s="23" t="s">
        <v>1799</v>
      </c>
      <c r="R65" s="23" t="s">
        <v>2065</v>
      </c>
      <c r="S65" s="23" t="s">
        <v>349</v>
      </c>
      <c r="T65" s="23" t="s">
        <v>1801</v>
      </c>
      <c r="U65" s="24" t="s">
        <v>2066</v>
      </c>
      <c r="V65" s="23" t="s">
        <v>123</v>
      </c>
      <c r="W65" s="23" t="s">
        <v>124</v>
      </c>
      <c r="X65" s="23" t="s">
        <v>125</v>
      </c>
      <c r="Y65" s="23" t="s">
        <v>126</v>
      </c>
      <c r="Z65" s="23" t="s">
        <v>128</v>
      </c>
    </row>
    <row r="66" spans="1:26" ht="57" customHeight="1">
      <c r="A66" s="23" t="s">
        <v>931</v>
      </c>
      <c r="B66" s="23" t="s">
        <v>932</v>
      </c>
      <c r="C66" s="24" t="s">
        <v>933</v>
      </c>
      <c r="D66" s="46" t="s">
        <v>1803</v>
      </c>
      <c r="E66" s="46" t="s">
        <v>934</v>
      </c>
      <c r="F66" s="23" t="s">
        <v>935</v>
      </c>
      <c r="G66" s="23">
        <v>92175000000</v>
      </c>
      <c r="H66" s="23" t="s">
        <v>936</v>
      </c>
      <c r="I66" s="23" t="s">
        <v>2067</v>
      </c>
      <c r="J66" s="26">
        <v>1.440234375</v>
      </c>
      <c r="K66" s="23" t="s">
        <v>445</v>
      </c>
      <c r="L66" s="27" t="s">
        <v>149</v>
      </c>
      <c r="M66" s="23" t="s">
        <v>2068</v>
      </c>
      <c r="N66" s="23" t="s">
        <v>2069</v>
      </c>
      <c r="O66" s="23" t="s">
        <v>937</v>
      </c>
      <c r="P66" s="23"/>
      <c r="Q66" s="23" t="s">
        <v>2055</v>
      </c>
      <c r="R66" s="23" t="s">
        <v>2070</v>
      </c>
      <c r="S66" s="23" t="s">
        <v>349</v>
      </c>
      <c r="T66" s="23" t="s">
        <v>1801</v>
      </c>
      <c r="U66" s="24" t="s">
        <v>2071</v>
      </c>
      <c r="V66" s="23" t="s">
        <v>123</v>
      </c>
      <c r="W66" s="23" t="s">
        <v>124</v>
      </c>
      <c r="X66" s="23" t="s">
        <v>660</v>
      </c>
      <c r="Y66" s="23" t="s">
        <v>661</v>
      </c>
      <c r="Z66" s="23" t="s">
        <v>128</v>
      </c>
    </row>
    <row r="67" spans="1:26" ht="57" customHeight="1">
      <c r="A67" s="23" t="s">
        <v>852</v>
      </c>
      <c r="B67" s="23" t="s">
        <v>853</v>
      </c>
      <c r="C67" s="24" t="s">
        <v>854</v>
      </c>
      <c r="D67" s="44" t="s">
        <v>1795</v>
      </c>
      <c r="E67" s="44" t="s">
        <v>855</v>
      </c>
      <c r="F67" s="23" t="s">
        <v>856</v>
      </c>
      <c r="G67" s="23">
        <v>724467043047</v>
      </c>
      <c r="H67" s="23" t="s">
        <v>857</v>
      </c>
      <c r="I67" s="23" t="s">
        <v>2072</v>
      </c>
      <c r="J67" s="26">
        <v>0.19580190352621599</v>
      </c>
      <c r="K67" s="23" t="s">
        <v>131</v>
      </c>
      <c r="L67" s="27" t="s">
        <v>149</v>
      </c>
      <c r="M67" s="23" t="s">
        <v>2073</v>
      </c>
      <c r="N67" s="23" t="s">
        <v>2074</v>
      </c>
      <c r="O67" s="23" t="s">
        <v>858</v>
      </c>
      <c r="P67" s="23"/>
      <c r="Q67" s="23" t="s">
        <v>2055</v>
      </c>
      <c r="R67" s="23" t="s">
        <v>2075</v>
      </c>
      <c r="S67" s="23" t="s">
        <v>349</v>
      </c>
      <c r="T67" s="23" t="s">
        <v>1801</v>
      </c>
      <c r="U67" s="24" t="s">
        <v>2076</v>
      </c>
      <c r="V67" s="23" t="s">
        <v>123</v>
      </c>
      <c r="W67" s="23" t="s">
        <v>124</v>
      </c>
      <c r="X67" s="23" t="s">
        <v>660</v>
      </c>
      <c r="Y67" s="23" t="s">
        <v>661</v>
      </c>
      <c r="Z67" s="23" t="s">
        <v>128</v>
      </c>
    </row>
    <row r="68" spans="1:26" ht="57" customHeight="1">
      <c r="A68" s="23" t="s">
        <v>439</v>
      </c>
      <c r="B68" s="23" t="s">
        <v>440</v>
      </c>
      <c r="C68" s="24" t="s">
        <v>441</v>
      </c>
      <c r="D68" s="44" t="s">
        <v>1795</v>
      </c>
      <c r="E68" s="44" t="s">
        <v>442</v>
      </c>
      <c r="F68" s="23" t="s">
        <v>443</v>
      </c>
      <c r="G68" s="23">
        <v>5654150000</v>
      </c>
      <c r="H68" s="23" t="s">
        <v>444</v>
      </c>
      <c r="I68" s="23" t="s">
        <v>2077</v>
      </c>
      <c r="J68" s="26">
        <v>0.36478387096774201</v>
      </c>
      <c r="K68" s="23" t="s">
        <v>445</v>
      </c>
      <c r="L68" s="27" t="s">
        <v>149</v>
      </c>
      <c r="M68" s="23" t="s">
        <v>2078</v>
      </c>
      <c r="N68" s="23" t="s">
        <v>2079</v>
      </c>
      <c r="O68" s="23" t="s">
        <v>446</v>
      </c>
      <c r="P68" s="23"/>
      <c r="Q68" s="23" t="s">
        <v>2055</v>
      </c>
      <c r="R68" s="23" t="s">
        <v>2080</v>
      </c>
      <c r="S68" s="23" t="s">
        <v>349</v>
      </c>
      <c r="T68" s="23" t="s">
        <v>1801</v>
      </c>
      <c r="U68" s="23" t="s">
        <v>2081</v>
      </c>
      <c r="V68" s="23" t="s">
        <v>123</v>
      </c>
      <c r="W68" s="23" t="s">
        <v>124</v>
      </c>
      <c r="X68" s="23" t="s">
        <v>125</v>
      </c>
      <c r="Y68" s="23" t="s">
        <v>126</v>
      </c>
      <c r="Z68" s="23" t="s">
        <v>128</v>
      </c>
    </row>
    <row r="69" spans="1:26" ht="71.25" customHeight="1">
      <c r="A69" s="23" t="s">
        <v>232</v>
      </c>
      <c r="B69" s="23" t="s">
        <v>233</v>
      </c>
      <c r="C69" s="24" t="s">
        <v>234</v>
      </c>
      <c r="D69" s="42" t="s">
        <v>1818</v>
      </c>
      <c r="E69" s="42" t="s">
        <v>235</v>
      </c>
      <c r="F69" s="23" t="s">
        <v>236</v>
      </c>
      <c r="G69" s="23">
        <v>142000000000000</v>
      </c>
      <c r="H69" s="23" t="s">
        <v>237</v>
      </c>
      <c r="I69" s="23" t="s">
        <v>2082</v>
      </c>
      <c r="J69" s="26">
        <v>5.5905511811023603</v>
      </c>
      <c r="K69" s="23" t="s">
        <v>238</v>
      </c>
      <c r="L69" s="25" t="s">
        <v>120</v>
      </c>
      <c r="M69" s="23" t="s">
        <v>2083</v>
      </c>
      <c r="N69" s="23" t="s">
        <v>2084</v>
      </c>
      <c r="O69" s="23" t="s">
        <v>239</v>
      </c>
      <c r="P69" s="23"/>
      <c r="Q69" s="23" t="s">
        <v>1799</v>
      </c>
      <c r="R69" s="23" t="s">
        <v>2085</v>
      </c>
      <c r="S69" s="23" t="s">
        <v>349</v>
      </c>
      <c r="T69" s="23" t="s">
        <v>1801</v>
      </c>
      <c r="U69" s="24" t="s">
        <v>2086</v>
      </c>
      <c r="V69" s="23" t="s">
        <v>123</v>
      </c>
      <c r="W69" s="23" t="s">
        <v>124</v>
      </c>
      <c r="X69" s="23" t="s">
        <v>152</v>
      </c>
      <c r="Y69" s="23" t="s">
        <v>153</v>
      </c>
      <c r="Z69" s="23" t="s">
        <v>128</v>
      </c>
    </row>
    <row r="70" spans="1:26" ht="57" customHeight="1">
      <c r="A70" s="23" t="s">
        <v>232</v>
      </c>
      <c r="B70" s="23" t="s">
        <v>233</v>
      </c>
      <c r="C70" s="24" t="s">
        <v>234</v>
      </c>
      <c r="D70" s="46" t="s">
        <v>1803</v>
      </c>
      <c r="E70" s="46" t="s">
        <v>2087</v>
      </c>
      <c r="F70" s="23" t="s">
        <v>2088</v>
      </c>
      <c r="G70" s="23">
        <v>3100000000000000</v>
      </c>
      <c r="H70" s="23" t="s">
        <v>237</v>
      </c>
      <c r="I70" s="23" t="s">
        <v>2089</v>
      </c>
      <c r="J70" s="26">
        <v>122.04724409448799</v>
      </c>
      <c r="K70" s="23" t="s">
        <v>2090</v>
      </c>
      <c r="L70" s="25" t="s">
        <v>120</v>
      </c>
      <c r="M70" s="23" t="s">
        <v>2091</v>
      </c>
      <c r="N70" s="23" t="s">
        <v>2084</v>
      </c>
      <c r="O70" s="23" t="s">
        <v>239</v>
      </c>
      <c r="P70" s="23"/>
      <c r="Q70" s="23" t="s">
        <v>1799</v>
      </c>
      <c r="R70" s="23" t="s">
        <v>2092</v>
      </c>
      <c r="S70" s="23" t="s">
        <v>349</v>
      </c>
      <c r="T70" s="23" t="s">
        <v>1801</v>
      </c>
      <c r="U70" s="23" t="s">
        <v>2093</v>
      </c>
      <c r="V70" s="23" t="s">
        <v>123</v>
      </c>
      <c r="W70" s="23" t="s">
        <v>124</v>
      </c>
      <c r="X70" s="23" t="s">
        <v>152</v>
      </c>
      <c r="Y70" s="23" t="s">
        <v>153</v>
      </c>
      <c r="Z70" s="23" t="s">
        <v>128</v>
      </c>
    </row>
    <row r="71" spans="1:26" ht="71.25" customHeight="1">
      <c r="A71" s="23" t="s">
        <v>310</v>
      </c>
      <c r="B71" s="23" t="s">
        <v>311</v>
      </c>
      <c r="C71" s="24" t="s">
        <v>2094</v>
      </c>
      <c r="D71" s="44" t="s">
        <v>1795</v>
      </c>
      <c r="E71" s="44" t="s">
        <v>313</v>
      </c>
      <c r="F71" s="23" t="s">
        <v>314</v>
      </c>
      <c r="G71" s="23">
        <v>565531900000</v>
      </c>
      <c r="H71" s="23" t="s">
        <v>315</v>
      </c>
      <c r="I71" s="23" t="s">
        <v>2095</v>
      </c>
      <c r="J71" s="26">
        <v>4.5703240665912404</v>
      </c>
      <c r="K71" s="23" t="s">
        <v>316</v>
      </c>
      <c r="L71" s="25" t="s">
        <v>120</v>
      </c>
      <c r="M71" s="23" t="s">
        <v>1461</v>
      </c>
      <c r="N71" s="23" t="s">
        <v>2096</v>
      </c>
      <c r="O71" s="23" t="s">
        <v>317</v>
      </c>
      <c r="P71" s="23"/>
      <c r="Q71" s="23" t="s">
        <v>1799</v>
      </c>
      <c r="R71" s="23" t="s">
        <v>2097</v>
      </c>
      <c r="S71" s="23" t="s">
        <v>349</v>
      </c>
      <c r="T71" s="23" t="s">
        <v>1801</v>
      </c>
      <c r="U71" s="23" t="s">
        <v>2098</v>
      </c>
      <c r="V71" s="23" t="s">
        <v>123</v>
      </c>
      <c r="W71" s="23" t="s">
        <v>124</v>
      </c>
      <c r="X71" s="23" t="s">
        <v>125</v>
      </c>
      <c r="Y71" s="23" t="s">
        <v>126</v>
      </c>
      <c r="Z71" s="23" t="s">
        <v>128</v>
      </c>
    </row>
    <row r="72" spans="1:26" ht="71.25" customHeight="1">
      <c r="A72" s="23" t="s">
        <v>310</v>
      </c>
      <c r="B72" s="23" t="s">
        <v>311</v>
      </c>
      <c r="C72" s="24" t="s">
        <v>2094</v>
      </c>
      <c r="D72" s="44" t="s">
        <v>1795</v>
      </c>
      <c r="E72" s="44" t="s">
        <v>2099</v>
      </c>
      <c r="F72" s="23" t="s">
        <v>2100</v>
      </c>
      <c r="G72" s="23">
        <v>1354459600000</v>
      </c>
      <c r="H72" s="23" t="s">
        <v>315</v>
      </c>
      <c r="I72" s="23" t="s">
        <v>2101</v>
      </c>
      <c r="J72" s="26">
        <v>10.9460126070794</v>
      </c>
      <c r="K72" s="23" t="s">
        <v>2102</v>
      </c>
      <c r="L72" s="25" t="s">
        <v>120</v>
      </c>
      <c r="M72" s="23" t="s">
        <v>1461</v>
      </c>
      <c r="N72" s="23" t="s">
        <v>2103</v>
      </c>
      <c r="O72" s="23" t="s">
        <v>2104</v>
      </c>
      <c r="P72" s="23"/>
      <c r="Q72" s="23" t="s">
        <v>1799</v>
      </c>
      <c r="R72" s="23" t="s">
        <v>2105</v>
      </c>
      <c r="S72" s="23" t="s">
        <v>349</v>
      </c>
      <c r="T72" s="23" t="s">
        <v>1801</v>
      </c>
      <c r="U72" s="24" t="s">
        <v>2106</v>
      </c>
      <c r="V72" s="23" t="s">
        <v>123</v>
      </c>
      <c r="W72" s="23" t="s">
        <v>124</v>
      </c>
      <c r="X72" s="23" t="s">
        <v>125</v>
      </c>
      <c r="Y72" s="23" t="s">
        <v>126</v>
      </c>
      <c r="Z72" s="23" t="s">
        <v>128</v>
      </c>
    </row>
    <row r="73" spans="1:26" ht="71.25" customHeight="1">
      <c r="A73" s="23" t="s">
        <v>340</v>
      </c>
      <c r="B73" s="23" t="s">
        <v>341</v>
      </c>
      <c r="C73" s="24" t="s">
        <v>342</v>
      </c>
      <c r="D73" s="44" t="s">
        <v>1795</v>
      </c>
      <c r="E73" s="44" t="s">
        <v>343</v>
      </c>
      <c r="F73" s="23" t="s">
        <v>344</v>
      </c>
      <c r="G73" s="23">
        <v>2450300000000</v>
      </c>
      <c r="H73" s="23" t="s">
        <v>345</v>
      </c>
      <c r="I73" s="23" t="s">
        <v>2107</v>
      </c>
      <c r="J73" s="26">
        <v>7.3003813609820103</v>
      </c>
      <c r="K73" s="23" t="s">
        <v>316</v>
      </c>
      <c r="L73" s="25" t="s">
        <v>120</v>
      </c>
      <c r="M73" s="23" t="s">
        <v>1275</v>
      </c>
      <c r="N73" s="23" t="s">
        <v>2108</v>
      </c>
      <c r="O73" s="23" t="s">
        <v>346</v>
      </c>
      <c r="P73" s="23" t="s">
        <v>347</v>
      </c>
      <c r="Q73" s="23" t="s">
        <v>1799</v>
      </c>
      <c r="R73" s="23" t="s">
        <v>2109</v>
      </c>
      <c r="S73" s="23" t="s">
        <v>349</v>
      </c>
      <c r="T73" s="23" t="s">
        <v>1801</v>
      </c>
      <c r="U73" s="23" t="s">
        <v>1843</v>
      </c>
      <c r="V73" s="23" t="s">
        <v>123</v>
      </c>
      <c r="W73" s="23" t="s">
        <v>124</v>
      </c>
      <c r="X73" s="23" t="s">
        <v>152</v>
      </c>
      <c r="Y73" s="23" t="s">
        <v>153</v>
      </c>
      <c r="Z73" s="23" t="s">
        <v>128</v>
      </c>
    </row>
    <row r="74" spans="1:26" ht="57" customHeight="1">
      <c r="A74" s="23" t="s">
        <v>452</v>
      </c>
      <c r="B74" s="23" t="s">
        <v>453</v>
      </c>
      <c r="C74" s="24" t="s">
        <v>2110</v>
      </c>
      <c r="D74" s="44" t="s">
        <v>1795</v>
      </c>
      <c r="E74" s="44" t="s">
        <v>455</v>
      </c>
      <c r="F74" s="23" t="s">
        <v>455</v>
      </c>
      <c r="G74" s="23">
        <v>7216300000000</v>
      </c>
      <c r="H74" s="23" t="s">
        <v>456</v>
      </c>
      <c r="I74" s="23" t="s">
        <v>2111</v>
      </c>
      <c r="J74" s="26">
        <v>2.1224411764705899</v>
      </c>
      <c r="K74" s="23" t="s">
        <v>283</v>
      </c>
      <c r="L74" s="25" t="s">
        <v>120</v>
      </c>
      <c r="M74" s="23" t="s">
        <v>1289</v>
      </c>
      <c r="N74" s="23" t="s">
        <v>2112</v>
      </c>
      <c r="O74" s="23" t="s">
        <v>457</v>
      </c>
      <c r="P74" s="23"/>
      <c r="Q74" s="23" t="s">
        <v>1799</v>
      </c>
      <c r="R74" s="23" t="s">
        <v>2113</v>
      </c>
      <c r="S74" s="23" t="s">
        <v>349</v>
      </c>
      <c r="T74" s="23" t="s">
        <v>1801</v>
      </c>
      <c r="U74" s="24" t="s">
        <v>2114</v>
      </c>
      <c r="V74" s="23" t="s">
        <v>123</v>
      </c>
      <c r="W74" s="23" t="s">
        <v>124</v>
      </c>
      <c r="X74" s="23" t="s">
        <v>152</v>
      </c>
      <c r="Y74" s="23" t="s">
        <v>153</v>
      </c>
      <c r="Z74" s="23" t="s">
        <v>128</v>
      </c>
    </row>
    <row r="75" spans="1:26" ht="57" customHeight="1">
      <c r="A75" s="23" t="s">
        <v>482</v>
      </c>
      <c r="B75" s="23" t="s">
        <v>483</v>
      </c>
      <c r="C75" s="24" t="s">
        <v>484</v>
      </c>
      <c r="D75" s="44" t="s">
        <v>1795</v>
      </c>
      <c r="E75" s="44" t="s">
        <v>485</v>
      </c>
      <c r="F75" s="23" t="s">
        <v>486</v>
      </c>
      <c r="G75" s="23">
        <v>10838400000000</v>
      </c>
      <c r="H75" s="23" t="s">
        <v>487</v>
      </c>
      <c r="I75" s="23" t="s">
        <v>2115</v>
      </c>
      <c r="J75" s="26">
        <v>0.84675</v>
      </c>
      <c r="K75" s="23" t="s">
        <v>488</v>
      </c>
      <c r="L75" s="25" t="s">
        <v>120</v>
      </c>
      <c r="M75" s="23" t="s">
        <v>2116</v>
      </c>
      <c r="N75" s="23" t="s">
        <v>2117</v>
      </c>
      <c r="O75" s="23" t="s">
        <v>489</v>
      </c>
      <c r="P75" s="23"/>
      <c r="Q75" s="23" t="s">
        <v>1799</v>
      </c>
      <c r="R75" s="23" t="s">
        <v>2118</v>
      </c>
      <c r="S75" s="23" t="s">
        <v>349</v>
      </c>
      <c r="T75" s="23" t="s">
        <v>1801</v>
      </c>
      <c r="U75" s="24" t="s">
        <v>2119</v>
      </c>
      <c r="V75" s="23" t="s">
        <v>123</v>
      </c>
      <c r="W75" s="23" t="s">
        <v>124</v>
      </c>
      <c r="X75" s="23" t="s">
        <v>125</v>
      </c>
      <c r="Y75" s="23" t="s">
        <v>126</v>
      </c>
      <c r="Z75" s="23" t="s">
        <v>128</v>
      </c>
    </row>
    <row r="76" spans="1:26" ht="71.25" customHeight="1">
      <c r="A76" s="23" t="s">
        <v>509</v>
      </c>
      <c r="B76" s="23" t="s">
        <v>510</v>
      </c>
      <c r="C76" s="24" t="s">
        <v>511</v>
      </c>
      <c r="D76" s="46" t="s">
        <v>1803</v>
      </c>
      <c r="E76" s="46" t="s">
        <v>512</v>
      </c>
      <c r="F76" s="23" t="s">
        <v>513</v>
      </c>
      <c r="G76" s="23">
        <v>26100000000</v>
      </c>
      <c r="H76" s="23" t="s">
        <v>514</v>
      </c>
      <c r="I76" s="23" t="s">
        <v>2120</v>
      </c>
      <c r="J76" s="26">
        <v>2.8369565217391299</v>
      </c>
      <c r="K76" s="23" t="s">
        <v>283</v>
      </c>
      <c r="L76" s="25" t="s">
        <v>120</v>
      </c>
      <c r="M76" s="23" t="s">
        <v>1294</v>
      </c>
      <c r="N76" s="23" t="s">
        <v>2121</v>
      </c>
      <c r="O76" s="23" t="s">
        <v>515</v>
      </c>
      <c r="P76" s="23"/>
      <c r="Q76" s="23" t="s">
        <v>1799</v>
      </c>
      <c r="R76" s="23" t="s">
        <v>2122</v>
      </c>
      <c r="S76" s="23" t="s">
        <v>349</v>
      </c>
      <c r="T76" s="23" t="s">
        <v>1801</v>
      </c>
      <c r="U76" s="23" t="s">
        <v>2123</v>
      </c>
      <c r="V76" s="23" t="s">
        <v>123</v>
      </c>
      <c r="W76" s="23" t="s">
        <v>124</v>
      </c>
      <c r="X76" s="23" t="s">
        <v>125</v>
      </c>
      <c r="Y76" s="23" t="s">
        <v>126</v>
      </c>
      <c r="Z76" s="23" t="s">
        <v>128</v>
      </c>
    </row>
    <row r="77" spans="1:26" ht="71.25" customHeight="1">
      <c r="A77" s="23" t="s">
        <v>523</v>
      </c>
      <c r="B77" s="23" t="s">
        <v>524</v>
      </c>
      <c r="C77" s="24" t="s">
        <v>525</v>
      </c>
      <c r="D77" s="46" t="s">
        <v>1803</v>
      </c>
      <c r="E77" s="46" t="s">
        <v>526</v>
      </c>
      <c r="F77" s="23" t="s">
        <v>527</v>
      </c>
      <c r="G77" s="23">
        <v>33650000000</v>
      </c>
      <c r="H77" s="23" t="s">
        <v>528</v>
      </c>
      <c r="I77" s="23" t="s">
        <v>2124</v>
      </c>
      <c r="J77" s="26">
        <v>9.6142857142857192</v>
      </c>
      <c r="K77" s="23" t="s">
        <v>529</v>
      </c>
      <c r="L77" s="27" t="s">
        <v>149</v>
      </c>
      <c r="M77" s="23" t="s">
        <v>2125</v>
      </c>
      <c r="N77" s="23" t="s">
        <v>2126</v>
      </c>
      <c r="O77" s="23" t="s">
        <v>530</v>
      </c>
      <c r="P77" s="23"/>
      <c r="Q77" s="23" t="s">
        <v>2055</v>
      </c>
      <c r="R77" s="23" t="s">
        <v>2127</v>
      </c>
      <c r="S77" s="23" t="s">
        <v>349</v>
      </c>
      <c r="T77" s="23" t="s">
        <v>1801</v>
      </c>
      <c r="U77" s="24" t="s">
        <v>2128</v>
      </c>
      <c r="V77" s="23" t="s">
        <v>123</v>
      </c>
      <c r="W77" s="23" t="s">
        <v>124</v>
      </c>
      <c r="X77" s="23" t="s">
        <v>152</v>
      </c>
      <c r="Y77" s="23" t="s">
        <v>153</v>
      </c>
      <c r="Z77" s="23" t="s">
        <v>128</v>
      </c>
    </row>
    <row r="78" spans="1:26" ht="42.75" customHeight="1">
      <c r="A78" s="23" t="s">
        <v>1218</v>
      </c>
      <c r="B78" s="23" t="s">
        <v>1219</v>
      </c>
      <c r="C78" s="24" t="s">
        <v>1220</v>
      </c>
      <c r="D78" s="46" t="s">
        <v>1803</v>
      </c>
      <c r="E78" s="46" t="s">
        <v>1221</v>
      </c>
      <c r="F78" s="23" t="s">
        <v>1221</v>
      </c>
      <c r="G78" s="23">
        <v>118600000000</v>
      </c>
      <c r="H78" s="23" t="s">
        <v>1222</v>
      </c>
      <c r="I78" s="23" t="s">
        <v>2129</v>
      </c>
      <c r="J78" s="26">
        <v>87.851851851851904</v>
      </c>
      <c r="K78" s="23" t="s">
        <v>316</v>
      </c>
      <c r="L78" s="27" t="s">
        <v>149</v>
      </c>
      <c r="M78" s="23" t="s">
        <v>2130</v>
      </c>
      <c r="N78" s="23" t="s">
        <v>2131</v>
      </c>
      <c r="O78" s="23" t="s">
        <v>1223</v>
      </c>
      <c r="P78" s="23"/>
      <c r="Q78" s="23" t="s">
        <v>2055</v>
      </c>
      <c r="R78" s="23" t="s">
        <v>2132</v>
      </c>
      <c r="S78" s="23" t="s">
        <v>349</v>
      </c>
      <c r="T78" s="23" t="s">
        <v>1801</v>
      </c>
      <c r="U78" s="24" t="s">
        <v>2133</v>
      </c>
      <c r="V78" s="23" t="s">
        <v>260</v>
      </c>
      <c r="W78" s="23" t="s">
        <v>261</v>
      </c>
      <c r="X78" s="23" t="s">
        <v>262</v>
      </c>
      <c r="Y78" s="23" t="s">
        <v>263</v>
      </c>
      <c r="Z78" s="23" t="s">
        <v>128</v>
      </c>
    </row>
    <row r="79" spans="1:26" ht="57" customHeight="1">
      <c r="A79" s="23" t="s">
        <v>534</v>
      </c>
      <c r="B79" s="23" t="s">
        <v>535</v>
      </c>
      <c r="C79" s="24" t="s">
        <v>536</v>
      </c>
      <c r="D79" s="46" t="s">
        <v>1803</v>
      </c>
      <c r="E79" s="46" t="s">
        <v>537</v>
      </c>
      <c r="F79" s="23" t="s">
        <v>538</v>
      </c>
      <c r="G79" s="23">
        <v>221700000000000</v>
      </c>
      <c r="H79" s="23" t="s">
        <v>539</v>
      </c>
      <c r="I79" s="23" t="s">
        <v>2134</v>
      </c>
      <c r="J79" s="26">
        <v>54.0731707317073</v>
      </c>
      <c r="K79" s="23" t="s">
        <v>540</v>
      </c>
      <c r="L79" s="27" t="s">
        <v>149</v>
      </c>
      <c r="M79" s="23" t="s">
        <v>2135</v>
      </c>
      <c r="N79" s="23" t="s">
        <v>2136</v>
      </c>
      <c r="O79" s="23" t="s">
        <v>541</v>
      </c>
      <c r="P79" s="23"/>
      <c r="Q79" s="23" t="s">
        <v>2055</v>
      </c>
      <c r="R79" s="23" t="s">
        <v>2137</v>
      </c>
      <c r="S79" s="23" t="s">
        <v>349</v>
      </c>
      <c r="T79" s="23" t="s">
        <v>1801</v>
      </c>
      <c r="U79" s="23" t="s">
        <v>2138</v>
      </c>
      <c r="V79" s="23" t="s">
        <v>123</v>
      </c>
      <c r="W79" s="23" t="s">
        <v>124</v>
      </c>
      <c r="X79" s="23" t="s">
        <v>152</v>
      </c>
      <c r="Y79" s="23" t="s">
        <v>153</v>
      </c>
      <c r="Z79" s="23" t="s">
        <v>264</v>
      </c>
    </row>
    <row r="80" spans="1:26" ht="85.5" customHeight="1">
      <c r="A80" s="23" t="s">
        <v>634</v>
      </c>
      <c r="B80" s="23" t="s">
        <v>635</v>
      </c>
      <c r="C80" s="24" t="s">
        <v>636</v>
      </c>
      <c r="D80" s="44" t="s">
        <v>1795</v>
      </c>
      <c r="E80" s="44" t="s">
        <v>637</v>
      </c>
      <c r="F80" s="23" t="s">
        <v>638</v>
      </c>
      <c r="G80" s="23">
        <v>4469515000</v>
      </c>
      <c r="H80" s="23" t="s">
        <v>639</v>
      </c>
      <c r="I80" s="23" t="s">
        <v>2139</v>
      </c>
      <c r="J80" s="26">
        <v>1.4417790322580699</v>
      </c>
      <c r="K80" s="23" t="s">
        <v>226</v>
      </c>
      <c r="L80" s="25" t="s">
        <v>120</v>
      </c>
      <c r="M80" s="23" t="s">
        <v>1308</v>
      </c>
      <c r="N80" s="23" t="s">
        <v>2140</v>
      </c>
      <c r="O80" s="23" t="s">
        <v>640</v>
      </c>
      <c r="P80" s="23"/>
      <c r="Q80" s="23" t="s">
        <v>1799</v>
      </c>
      <c r="R80" s="23" t="s">
        <v>2141</v>
      </c>
      <c r="S80" s="23" t="s">
        <v>349</v>
      </c>
      <c r="T80" s="23" t="s">
        <v>1801</v>
      </c>
      <c r="U80" s="23"/>
      <c r="V80" s="23" t="s">
        <v>123</v>
      </c>
      <c r="W80" s="23" t="s">
        <v>124</v>
      </c>
      <c r="X80" s="23" t="s">
        <v>125</v>
      </c>
      <c r="Y80" s="23" t="s">
        <v>126</v>
      </c>
      <c r="Z80" s="23" t="s">
        <v>128</v>
      </c>
    </row>
    <row r="81" spans="1:26" ht="85.5" customHeight="1">
      <c r="A81" s="23" t="s">
        <v>634</v>
      </c>
      <c r="B81" s="23" t="s">
        <v>635</v>
      </c>
      <c r="C81" s="24" t="s">
        <v>636</v>
      </c>
      <c r="D81" s="46" t="s">
        <v>1803</v>
      </c>
      <c r="E81" s="46" t="s">
        <v>2142</v>
      </c>
      <c r="F81" s="23" t="s">
        <v>2143</v>
      </c>
      <c r="G81" s="23">
        <v>5389000000</v>
      </c>
      <c r="H81" s="23" t="s">
        <v>639</v>
      </c>
      <c r="I81" s="23" t="s">
        <v>2144</v>
      </c>
      <c r="J81" s="26">
        <v>1.7383870967741899</v>
      </c>
      <c r="K81" s="23" t="s">
        <v>316</v>
      </c>
      <c r="L81" s="27" t="s">
        <v>149</v>
      </c>
      <c r="M81" s="23" t="s">
        <v>2145</v>
      </c>
      <c r="N81" s="23" t="s">
        <v>2146</v>
      </c>
      <c r="O81" s="23" t="s">
        <v>2147</v>
      </c>
      <c r="P81" s="23"/>
      <c r="Q81" s="23" t="s">
        <v>2055</v>
      </c>
      <c r="R81" s="23" t="s">
        <v>2148</v>
      </c>
      <c r="S81" s="23" t="s">
        <v>349</v>
      </c>
      <c r="T81" s="23" t="s">
        <v>1801</v>
      </c>
      <c r="U81" s="23"/>
      <c r="V81" s="23" t="s">
        <v>123</v>
      </c>
      <c r="W81" s="23" t="s">
        <v>124</v>
      </c>
      <c r="X81" s="23" t="s">
        <v>125</v>
      </c>
      <c r="Y81" s="23" t="s">
        <v>126</v>
      </c>
      <c r="Z81" s="23" t="s">
        <v>128</v>
      </c>
    </row>
    <row r="82" spans="1:26" ht="57" customHeight="1">
      <c r="A82" s="23" t="s">
        <v>746</v>
      </c>
      <c r="B82" s="23" t="s">
        <v>59</v>
      </c>
      <c r="C82" s="24" t="s">
        <v>747</v>
      </c>
      <c r="D82" s="46" t="s">
        <v>1803</v>
      </c>
      <c r="E82" s="46" t="s">
        <v>748</v>
      </c>
      <c r="F82" s="23" t="s">
        <v>749</v>
      </c>
      <c r="G82" s="23">
        <v>32200000000</v>
      </c>
      <c r="H82" s="23" t="s">
        <v>750</v>
      </c>
      <c r="I82" s="23" t="s">
        <v>2149</v>
      </c>
      <c r="J82" s="26">
        <v>32.200000000000003</v>
      </c>
      <c r="K82" s="23" t="s">
        <v>222</v>
      </c>
      <c r="L82" s="27" t="s">
        <v>149</v>
      </c>
      <c r="M82" s="23" t="s">
        <v>2150</v>
      </c>
      <c r="N82" s="23" t="s">
        <v>2151</v>
      </c>
      <c r="O82" s="23" t="s">
        <v>751</v>
      </c>
      <c r="P82" s="23"/>
      <c r="Q82" s="23" t="s">
        <v>2055</v>
      </c>
      <c r="R82" s="23" t="s">
        <v>2152</v>
      </c>
      <c r="S82" s="23" t="s">
        <v>349</v>
      </c>
      <c r="T82" s="23" t="s">
        <v>1801</v>
      </c>
      <c r="U82" s="24" t="s">
        <v>2153</v>
      </c>
      <c r="V82" s="23" t="s">
        <v>123</v>
      </c>
      <c r="W82" s="23" t="s">
        <v>124</v>
      </c>
      <c r="X82" s="23" t="s">
        <v>262</v>
      </c>
      <c r="Y82" s="23" t="s">
        <v>263</v>
      </c>
      <c r="Z82" s="23" t="s">
        <v>128</v>
      </c>
    </row>
    <row r="83" spans="1:26" ht="57" customHeight="1">
      <c r="A83" s="23" t="s">
        <v>760</v>
      </c>
      <c r="B83" s="23" t="s">
        <v>761</v>
      </c>
      <c r="C83" s="24" t="s">
        <v>762</v>
      </c>
      <c r="D83" s="44" t="s">
        <v>1795</v>
      </c>
      <c r="E83" s="44" t="s">
        <v>763</v>
      </c>
      <c r="F83" s="23" t="s">
        <v>764</v>
      </c>
      <c r="G83" s="23">
        <v>257500000</v>
      </c>
      <c r="H83" s="23" t="s">
        <v>765</v>
      </c>
      <c r="I83" s="23" t="s">
        <v>2154</v>
      </c>
      <c r="J83" s="26">
        <v>0.36318758815232699</v>
      </c>
      <c r="K83" s="23" t="s">
        <v>283</v>
      </c>
      <c r="L83" s="27" t="s">
        <v>149</v>
      </c>
      <c r="M83" s="23" t="s">
        <v>2155</v>
      </c>
      <c r="N83" s="45" t="s">
        <v>2156</v>
      </c>
      <c r="O83" s="23" t="s">
        <v>766</v>
      </c>
      <c r="P83" s="23"/>
      <c r="Q83" s="23" t="s">
        <v>2055</v>
      </c>
      <c r="R83" s="45" t="s">
        <v>2157</v>
      </c>
      <c r="S83" s="23" t="s">
        <v>349</v>
      </c>
      <c r="T83" s="23" t="s">
        <v>1801</v>
      </c>
      <c r="U83" s="24" t="s">
        <v>2158</v>
      </c>
      <c r="V83" s="23" t="s">
        <v>123</v>
      </c>
      <c r="W83" s="23" t="s">
        <v>124</v>
      </c>
      <c r="X83" s="23" t="s">
        <v>152</v>
      </c>
      <c r="Y83" s="23" t="s">
        <v>153</v>
      </c>
      <c r="Z83" s="23" t="s">
        <v>128</v>
      </c>
    </row>
    <row r="84" spans="1:26" ht="57" customHeight="1">
      <c r="A84" s="23" t="s">
        <v>760</v>
      </c>
      <c r="B84" s="23" t="s">
        <v>761</v>
      </c>
      <c r="C84" s="24" t="s">
        <v>762</v>
      </c>
      <c r="D84" s="46" t="s">
        <v>1803</v>
      </c>
      <c r="E84" s="46" t="s">
        <v>2159</v>
      </c>
      <c r="F84" s="23" t="s">
        <v>2160</v>
      </c>
      <c r="G84" s="23">
        <v>4450000000</v>
      </c>
      <c r="H84" s="23" t="s">
        <v>765</v>
      </c>
      <c r="I84" s="23" t="s">
        <v>2161</v>
      </c>
      <c r="J84" s="26">
        <v>6.2764456981664303</v>
      </c>
      <c r="K84" s="23" t="s">
        <v>283</v>
      </c>
      <c r="L84" s="27" t="s">
        <v>149</v>
      </c>
      <c r="M84" s="23" t="s">
        <v>2162</v>
      </c>
      <c r="N84" s="23" t="s">
        <v>2163</v>
      </c>
      <c r="O84" s="23" t="s">
        <v>2164</v>
      </c>
      <c r="P84" s="23"/>
      <c r="Q84" s="23" t="s">
        <v>2055</v>
      </c>
      <c r="R84" s="23" t="s">
        <v>2165</v>
      </c>
      <c r="S84" s="23" t="s">
        <v>349</v>
      </c>
      <c r="T84" s="23" t="s">
        <v>1801</v>
      </c>
      <c r="U84" s="23"/>
      <c r="V84" s="23" t="s">
        <v>123</v>
      </c>
      <c r="W84" s="23" t="s">
        <v>124</v>
      </c>
      <c r="X84" s="23" t="s">
        <v>152</v>
      </c>
      <c r="Y84" s="23" t="s">
        <v>153</v>
      </c>
      <c r="Z84" s="23" t="s">
        <v>128</v>
      </c>
    </row>
    <row r="85" spans="1:26" ht="85.5" customHeight="1">
      <c r="A85" s="23" t="s">
        <v>496</v>
      </c>
      <c r="B85" s="23" t="s">
        <v>497</v>
      </c>
      <c r="C85" s="24" t="s">
        <v>498</v>
      </c>
      <c r="D85" s="44" t="s">
        <v>1795</v>
      </c>
      <c r="E85" s="44" t="s">
        <v>499</v>
      </c>
      <c r="F85" s="23" t="s">
        <v>500</v>
      </c>
      <c r="G85" s="23">
        <v>57600000000</v>
      </c>
      <c r="H85" s="23" t="s">
        <v>501</v>
      </c>
      <c r="I85" s="23" t="s">
        <v>2166</v>
      </c>
      <c r="J85" s="26">
        <v>0.66206896551724104</v>
      </c>
      <c r="K85" s="23" t="s">
        <v>157</v>
      </c>
      <c r="L85" s="27" t="s">
        <v>149</v>
      </c>
      <c r="M85" s="23" t="s">
        <v>2167</v>
      </c>
      <c r="N85" s="23" t="s">
        <v>2168</v>
      </c>
      <c r="O85" s="23" t="s">
        <v>502</v>
      </c>
      <c r="P85" s="23"/>
      <c r="Q85" s="23"/>
      <c r="R85" s="23" t="s">
        <v>2169</v>
      </c>
      <c r="S85" s="23" t="s">
        <v>349</v>
      </c>
      <c r="T85" s="23" t="s">
        <v>1801</v>
      </c>
      <c r="U85" s="24" t="s">
        <v>2170</v>
      </c>
      <c r="V85" s="23" t="s">
        <v>123</v>
      </c>
      <c r="W85" s="23" t="s">
        <v>124</v>
      </c>
      <c r="X85" s="23" t="s">
        <v>125</v>
      </c>
      <c r="Y85" s="23" t="s">
        <v>126</v>
      </c>
      <c r="Z85" s="23" t="s">
        <v>128</v>
      </c>
    </row>
    <row r="86" spans="1:26" ht="71.25" customHeight="1">
      <c r="A86" s="23" t="s">
        <v>496</v>
      </c>
      <c r="B86" s="23" t="s">
        <v>497</v>
      </c>
      <c r="C86" s="24" t="s">
        <v>498</v>
      </c>
      <c r="D86" s="44" t="s">
        <v>1795</v>
      </c>
      <c r="E86" s="44" t="s">
        <v>499</v>
      </c>
      <c r="F86" s="23" t="s">
        <v>2171</v>
      </c>
      <c r="G86" s="23">
        <v>54400000000</v>
      </c>
      <c r="H86" s="23" t="s">
        <v>501</v>
      </c>
      <c r="I86" s="23" t="s">
        <v>2166</v>
      </c>
      <c r="J86" s="26">
        <v>0.62528735632183896</v>
      </c>
      <c r="K86" s="23" t="s">
        <v>175</v>
      </c>
      <c r="L86" s="25" t="s">
        <v>120</v>
      </c>
      <c r="M86" s="23" t="s">
        <v>2172</v>
      </c>
      <c r="N86" s="23" t="s">
        <v>2173</v>
      </c>
      <c r="O86" s="23" t="s">
        <v>2174</v>
      </c>
      <c r="P86" s="23"/>
      <c r="Q86" s="23"/>
      <c r="R86" s="23" t="s">
        <v>2175</v>
      </c>
      <c r="S86" s="23" t="s">
        <v>349</v>
      </c>
      <c r="T86" s="23" t="s">
        <v>1801</v>
      </c>
      <c r="U86" s="23" t="s">
        <v>2176</v>
      </c>
      <c r="V86" s="23" t="s">
        <v>123</v>
      </c>
      <c r="W86" s="23" t="s">
        <v>124</v>
      </c>
      <c r="X86" s="23" t="s">
        <v>125</v>
      </c>
      <c r="Y86" s="23" t="s">
        <v>126</v>
      </c>
      <c r="Z86" s="23" t="s">
        <v>128</v>
      </c>
    </row>
    <row r="87" spans="1:26" ht="71.25" customHeight="1">
      <c r="A87" s="23" t="s">
        <v>647</v>
      </c>
      <c r="B87" s="23" t="s">
        <v>648</v>
      </c>
      <c r="C87" s="24" t="s">
        <v>649</v>
      </c>
      <c r="D87" s="46" t="s">
        <v>1803</v>
      </c>
      <c r="E87" s="46" t="s">
        <v>650</v>
      </c>
      <c r="F87" s="23" t="s">
        <v>651</v>
      </c>
      <c r="G87" s="23">
        <v>17108000000</v>
      </c>
      <c r="H87" s="23" t="s">
        <v>652</v>
      </c>
      <c r="I87" s="23" t="s">
        <v>2177</v>
      </c>
      <c r="J87" s="26">
        <v>3.0727230274619699</v>
      </c>
      <c r="K87" s="23" t="s">
        <v>283</v>
      </c>
      <c r="L87" s="25" t="s">
        <v>120</v>
      </c>
      <c r="M87" s="23" t="s">
        <v>2178</v>
      </c>
      <c r="N87" s="23" t="s">
        <v>2179</v>
      </c>
      <c r="O87" s="23" t="s">
        <v>653</v>
      </c>
      <c r="P87" s="23"/>
      <c r="Q87" s="23"/>
      <c r="R87" s="23" t="s">
        <v>2180</v>
      </c>
      <c r="S87" s="23" t="s">
        <v>349</v>
      </c>
      <c r="T87" s="23" t="s">
        <v>1801</v>
      </c>
      <c r="U87" s="24" t="s">
        <v>2181</v>
      </c>
      <c r="V87" s="23" t="s">
        <v>123</v>
      </c>
      <c r="W87" s="23" t="s">
        <v>124</v>
      </c>
      <c r="X87" s="23" t="s">
        <v>152</v>
      </c>
      <c r="Y87" s="23" t="s">
        <v>153</v>
      </c>
      <c r="Z87" s="23" t="s">
        <v>128</v>
      </c>
    </row>
    <row r="88" spans="1:26" ht="85.5" customHeight="1">
      <c r="A88" s="23" t="s">
        <v>714</v>
      </c>
      <c r="B88" s="23" t="s">
        <v>715</v>
      </c>
      <c r="C88" s="24" t="s">
        <v>716</v>
      </c>
      <c r="D88" s="46" t="s">
        <v>1803</v>
      </c>
      <c r="E88" s="46" t="s">
        <v>650</v>
      </c>
      <c r="F88" s="23" t="s">
        <v>703</v>
      </c>
      <c r="G88" s="23">
        <v>114700000000</v>
      </c>
      <c r="H88" s="23" t="s">
        <v>717</v>
      </c>
      <c r="I88" s="45" t="s">
        <v>2182</v>
      </c>
      <c r="J88" s="26">
        <v>31.510989010989</v>
      </c>
      <c r="K88" s="23" t="s">
        <v>718</v>
      </c>
      <c r="L88" s="27" t="s">
        <v>149</v>
      </c>
      <c r="M88" s="23" t="s">
        <v>2183</v>
      </c>
      <c r="N88" s="45" t="s">
        <v>2184</v>
      </c>
      <c r="O88" s="23" t="s">
        <v>719</v>
      </c>
      <c r="P88" s="23"/>
      <c r="Q88" s="23"/>
      <c r="R88" s="45" t="s">
        <v>2185</v>
      </c>
      <c r="S88" s="23" t="s">
        <v>349</v>
      </c>
      <c r="T88" s="23" t="s">
        <v>1801</v>
      </c>
      <c r="U88" s="23"/>
      <c r="V88" s="23" t="s">
        <v>123</v>
      </c>
      <c r="W88" s="23" t="s">
        <v>124</v>
      </c>
      <c r="X88" s="23" t="s">
        <v>262</v>
      </c>
      <c r="Y88" s="23" t="s">
        <v>263</v>
      </c>
      <c r="Z88" s="23" t="s">
        <v>128</v>
      </c>
    </row>
    <row r="89" spans="1:26" ht="57" customHeight="1">
      <c r="A89" s="23" t="s">
        <v>801</v>
      </c>
      <c r="B89" s="23" t="s">
        <v>802</v>
      </c>
      <c r="C89" s="24" t="s">
        <v>803</v>
      </c>
      <c r="D89" s="46" t="s">
        <v>1803</v>
      </c>
      <c r="E89" s="46" t="s">
        <v>650</v>
      </c>
      <c r="F89" s="23" t="s">
        <v>804</v>
      </c>
      <c r="G89" s="23">
        <v>3110000000</v>
      </c>
      <c r="H89" s="23" t="s">
        <v>750</v>
      </c>
      <c r="I89" s="23" t="s">
        <v>2186</v>
      </c>
      <c r="J89" s="26">
        <v>3.11</v>
      </c>
      <c r="K89" s="23" t="s">
        <v>148</v>
      </c>
      <c r="L89" s="27" t="s">
        <v>149</v>
      </c>
      <c r="M89" s="23" t="s">
        <v>2187</v>
      </c>
      <c r="N89" s="45" t="s">
        <v>2188</v>
      </c>
      <c r="O89" s="23" t="s">
        <v>2189</v>
      </c>
      <c r="P89" s="23"/>
      <c r="Q89" s="23"/>
      <c r="R89" s="45" t="s">
        <v>2190</v>
      </c>
      <c r="S89" s="23" t="s">
        <v>349</v>
      </c>
      <c r="T89" s="23" t="s">
        <v>1801</v>
      </c>
      <c r="U89" s="23" t="s">
        <v>2191</v>
      </c>
      <c r="V89" s="23" t="s">
        <v>123</v>
      </c>
      <c r="W89" s="23" t="s">
        <v>124</v>
      </c>
      <c r="X89" s="23" t="s">
        <v>125</v>
      </c>
      <c r="Y89" s="23" t="s">
        <v>126</v>
      </c>
      <c r="Z89" s="23" t="s">
        <v>128</v>
      </c>
    </row>
    <row r="90" spans="1:26" ht="57" customHeight="1">
      <c r="A90" s="23" t="s">
        <v>945</v>
      </c>
      <c r="B90" s="23" t="s">
        <v>946</v>
      </c>
      <c r="C90" s="24" t="s">
        <v>947</v>
      </c>
      <c r="D90" s="42" t="s">
        <v>1818</v>
      </c>
      <c r="E90" s="42" t="s">
        <v>948</v>
      </c>
      <c r="F90" s="23" t="s">
        <v>949</v>
      </c>
      <c r="G90" s="23">
        <v>5100669400</v>
      </c>
      <c r="H90" s="23" t="s">
        <v>950</v>
      </c>
      <c r="I90" s="23" t="s">
        <v>950</v>
      </c>
      <c r="J90" s="26">
        <v>0.18891368148148199</v>
      </c>
      <c r="K90" s="23" t="s">
        <v>951</v>
      </c>
      <c r="L90" s="27" t="s">
        <v>149</v>
      </c>
      <c r="M90" s="23" t="s">
        <v>2192</v>
      </c>
      <c r="N90" s="23" t="s">
        <v>2193</v>
      </c>
      <c r="O90" s="23" t="s">
        <v>952</v>
      </c>
      <c r="P90" s="23"/>
      <c r="Q90" s="23"/>
      <c r="R90" s="23" t="s">
        <v>2194</v>
      </c>
      <c r="S90" s="23" t="s">
        <v>349</v>
      </c>
      <c r="T90" s="23" t="s">
        <v>1801</v>
      </c>
      <c r="U90" s="23" t="s">
        <v>2195</v>
      </c>
      <c r="V90" s="23" t="s">
        <v>123</v>
      </c>
      <c r="W90" s="23" t="s">
        <v>124</v>
      </c>
      <c r="X90" s="23" t="s">
        <v>125</v>
      </c>
      <c r="Y90" s="23" t="s">
        <v>126</v>
      </c>
      <c r="Z90" s="23" t="s">
        <v>128</v>
      </c>
    </row>
    <row r="91" spans="1:26" ht="57" customHeight="1">
      <c r="A91" s="23" t="s">
        <v>1012</v>
      </c>
      <c r="B91" s="23" t="s">
        <v>1013</v>
      </c>
      <c r="C91" s="24" t="s">
        <v>1014</v>
      </c>
      <c r="D91" s="44" t="s">
        <v>1795</v>
      </c>
      <c r="E91" s="44" t="s">
        <v>499</v>
      </c>
      <c r="F91" s="23" t="s">
        <v>2196</v>
      </c>
      <c r="G91" s="23">
        <v>769477025679.52002</v>
      </c>
      <c r="H91" s="23" t="s">
        <v>1016</v>
      </c>
      <c r="I91" s="23" t="s">
        <v>2197</v>
      </c>
      <c r="J91" s="26">
        <v>0.170994894595449</v>
      </c>
      <c r="K91" s="23" t="s">
        <v>951</v>
      </c>
      <c r="L91" s="27" t="s">
        <v>120</v>
      </c>
      <c r="M91" s="23" t="s">
        <v>2198</v>
      </c>
      <c r="N91" s="23" t="s">
        <v>1701</v>
      </c>
      <c r="O91" s="23" t="s">
        <v>1017</v>
      </c>
      <c r="P91" s="23"/>
      <c r="Q91" s="23"/>
      <c r="R91" s="23" t="s">
        <v>2199</v>
      </c>
      <c r="S91" s="23" t="s">
        <v>349</v>
      </c>
      <c r="T91" s="23" t="s">
        <v>1801</v>
      </c>
      <c r="U91" s="23" t="s">
        <v>2200</v>
      </c>
      <c r="V91" s="23" t="s">
        <v>123</v>
      </c>
      <c r="W91" s="23" t="s">
        <v>124</v>
      </c>
      <c r="X91" s="23" t="s">
        <v>660</v>
      </c>
      <c r="Y91" s="23" t="s">
        <v>661</v>
      </c>
      <c r="Z91" s="23" t="s">
        <v>128</v>
      </c>
    </row>
    <row r="92" spans="1:26" ht="57" customHeight="1">
      <c r="A92" s="23" t="s">
        <v>1037</v>
      </c>
      <c r="B92" s="23" t="s">
        <v>1038</v>
      </c>
      <c r="C92" s="24" t="s">
        <v>1039</v>
      </c>
      <c r="D92" s="44" t="s">
        <v>1795</v>
      </c>
      <c r="E92" s="44" t="s">
        <v>499</v>
      </c>
      <c r="F92" s="23" t="s">
        <v>1040</v>
      </c>
      <c r="G92" s="23">
        <v>369000000</v>
      </c>
      <c r="H92" s="23" t="s">
        <v>750</v>
      </c>
      <c r="I92" s="23" t="s">
        <v>2201</v>
      </c>
      <c r="J92" s="26">
        <v>0.36899999999999999</v>
      </c>
      <c r="K92" s="23" t="s">
        <v>951</v>
      </c>
      <c r="L92" s="27" t="s">
        <v>149</v>
      </c>
      <c r="M92" s="23" t="s">
        <v>2202</v>
      </c>
      <c r="N92" s="23" t="s">
        <v>2203</v>
      </c>
      <c r="O92" s="23" t="s">
        <v>1041</v>
      </c>
      <c r="P92" s="23"/>
      <c r="Q92" s="23"/>
      <c r="R92" s="23" t="s">
        <v>2204</v>
      </c>
      <c r="S92" s="23" t="s">
        <v>349</v>
      </c>
      <c r="T92" s="23" t="s">
        <v>1801</v>
      </c>
      <c r="U92" s="23" t="s">
        <v>2205</v>
      </c>
      <c r="V92" s="23" t="s">
        <v>123</v>
      </c>
      <c r="W92" s="23" t="s">
        <v>124</v>
      </c>
      <c r="X92" s="23" t="s">
        <v>660</v>
      </c>
      <c r="Y92" s="23" t="s">
        <v>661</v>
      </c>
      <c r="Z92" s="23" t="s">
        <v>128</v>
      </c>
    </row>
    <row r="93" spans="1:26" ht="85.5" customHeight="1">
      <c r="A93" s="23" t="s">
        <v>826</v>
      </c>
      <c r="B93" s="23" t="s">
        <v>827</v>
      </c>
      <c r="C93" s="24" t="s">
        <v>828</v>
      </c>
      <c r="D93" s="46" t="s">
        <v>1803</v>
      </c>
      <c r="E93" s="46" t="s">
        <v>650</v>
      </c>
      <c r="F93" s="23" t="s">
        <v>829</v>
      </c>
      <c r="G93" s="23">
        <v>2094500000000</v>
      </c>
      <c r="H93" s="23" t="s">
        <v>830</v>
      </c>
      <c r="I93" s="23" t="s">
        <v>2206</v>
      </c>
      <c r="J93" s="26">
        <v>0.946581100013558</v>
      </c>
      <c r="K93" s="23" t="s">
        <v>718</v>
      </c>
      <c r="L93" s="25" t="s">
        <v>120</v>
      </c>
      <c r="M93" s="23" t="s">
        <v>1332</v>
      </c>
      <c r="N93" s="23" t="s">
        <v>2207</v>
      </c>
      <c r="O93" s="23" t="s">
        <v>831</v>
      </c>
      <c r="P93" s="23"/>
      <c r="Q93" s="23"/>
      <c r="R93" s="23" t="s">
        <v>2208</v>
      </c>
      <c r="S93" s="23" t="s">
        <v>349</v>
      </c>
      <c r="T93" s="23" t="s">
        <v>1801</v>
      </c>
      <c r="U93" s="24" t="s">
        <v>2209</v>
      </c>
      <c r="V93" s="23" t="s">
        <v>123</v>
      </c>
      <c r="W93" s="23" t="s">
        <v>124</v>
      </c>
      <c r="X93" s="23" t="s">
        <v>660</v>
      </c>
      <c r="Y93" s="23" t="s">
        <v>661</v>
      </c>
      <c r="Z93" s="23" t="s">
        <v>128</v>
      </c>
    </row>
  </sheetData>
  <autoFilter ref="A1:Z93" xr:uid="{00000000-0009-0000-0000-000004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zoomScaleNormal="100" workbookViewId="0"/>
  </sheetViews>
  <sheetFormatPr defaultColWidth="8.6640625" defaultRowHeight="14.25"/>
  <cols>
    <col min="1" max="1" width="22" customWidth="1"/>
    <col min="2" max="3" width="40" customWidth="1"/>
    <col min="4" max="4" width="70" customWidth="1"/>
  </cols>
  <sheetData>
    <row r="1" spans="1:4" ht="36" customHeight="1">
      <c r="A1" s="15" t="s">
        <v>2210</v>
      </c>
      <c r="B1" s="15" t="s">
        <v>2211</v>
      </c>
      <c r="C1" s="15" t="s">
        <v>2212</v>
      </c>
      <c r="D1" s="15" t="s">
        <v>2213</v>
      </c>
    </row>
    <row r="2" spans="1:4" ht="48" customHeight="1">
      <c r="A2" s="23" t="s">
        <v>82</v>
      </c>
      <c r="B2" s="23" t="s">
        <v>2214</v>
      </c>
      <c r="C2" s="23" t="s">
        <v>2215</v>
      </c>
      <c r="D2" s="23" t="s">
        <v>2216</v>
      </c>
    </row>
    <row r="3" spans="1:4" ht="48" customHeight="1">
      <c r="A3" s="23" t="s">
        <v>83</v>
      </c>
      <c r="B3" s="23" t="s">
        <v>2217</v>
      </c>
      <c r="C3" s="23" t="s">
        <v>2218</v>
      </c>
      <c r="D3" s="23" t="s">
        <v>2219</v>
      </c>
    </row>
    <row r="4" spans="1:4" ht="48" customHeight="1">
      <c r="A4" s="23" t="s">
        <v>84</v>
      </c>
      <c r="B4" s="23" t="s">
        <v>2220</v>
      </c>
      <c r="C4" s="23" t="s">
        <v>2221</v>
      </c>
      <c r="D4" s="23" t="s">
        <v>2222</v>
      </c>
    </row>
    <row r="5" spans="1:4" ht="48" customHeight="1">
      <c r="A5" s="23" t="s">
        <v>85</v>
      </c>
      <c r="B5" s="23" t="s">
        <v>2223</v>
      </c>
      <c r="C5" s="23" t="s">
        <v>2224</v>
      </c>
      <c r="D5" s="23" t="s">
        <v>2225</v>
      </c>
    </row>
    <row r="6" spans="1:4" ht="48" customHeight="1">
      <c r="A6" s="23" t="s">
        <v>86</v>
      </c>
      <c r="B6" s="23" t="s">
        <v>2226</v>
      </c>
      <c r="C6" s="23" t="s">
        <v>2227</v>
      </c>
      <c r="D6" s="23" t="s">
        <v>2228</v>
      </c>
    </row>
    <row r="7" spans="1:4" ht="48" customHeight="1">
      <c r="A7" s="23" t="s">
        <v>87</v>
      </c>
      <c r="B7" s="23" t="s">
        <v>2229</v>
      </c>
      <c r="C7" s="23" t="s">
        <v>2230</v>
      </c>
      <c r="D7" s="23" t="s">
        <v>2231</v>
      </c>
    </row>
    <row r="8" spans="1:4" ht="48" customHeight="1">
      <c r="A8" s="23" t="s">
        <v>88</v>
      </c>
      <c r="B8" s="23" t="s">
        <v>2232</v>
      </c>
      <c r="C8" s="23" t="s">
        <v>2233</v>
      </c>
      <c r="D8" s="23" t="s">
        <v>2234</v>
      </c>
    </row>
    <row r="9" spans="1:4" ht="48" customHeight="1">
      <c r="A9" s="23" t="s">
        <v>2235</v>
      </c>
      <c r="B9" s="23" t="s">
        <v>2236</v>
      </c>
      <c r="C9" s="23" t="s">
        <v>2237</v>
      </c>
      <c r="D9" s="23" t="s">
        <v>2238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zoomScaleNormal="100" workbookViewId="0"/>
  </sheetViews>
  <sheetFormatPr defaultColWidth="8.6640625" defaultRowHeight="14.25"/>
  <cols>
    <col min="1" max="1" width="48" customWidth="1"/>
    <col min="2" max="2" width="10" customWidth="1"/>
    <col min="3" max="3" width="14" customWidth="1"/>
    <col min="4" max="4" width="42" customWidth="1"/>
    <col min="5" max="5" width="40" customWidth="1"/>
  </cols>
  <sheetData>
    <row r="1" spans="1:5" ht="36" customHeight="1">
      <c r="A1" s="15" t="s">
        <v>79</v>
      </c>
      <c r="B1" s="15" t="s">
        <v>2239</v>
      </c>
      <c r="C1" s="15" t="s">
        <v>2240</v>
      </c>
      <c r="D1" s="16" t="s">
        <v>78</v>
      </c>
      <c r="E1" s="15" t="s">
        <v>2241</v>
      </c>
    </row>
    <row r="2" spans="1:5" ht="14.25" customHeight="1">
      <c r="A2" s="23" t="s">
        <v>2242</v>
      </c>
      <c r="B2" s="23" t="s">
        <v>667</v>
      </c>
      <c r="C2" s="23" t="s">
        <v>2243</v>
      </c>
      <c r="D2" s="23" t="s">
        <v>2244</v>
      </c>
      <c r="E2" s="23" t="s">
        <v>2245</v>
      </c>
    </row>
    <row r="3" spans="1:5" ht="14.25" customHeight="1">
      <c r="A3" s="23" t="s">
        <v>2246</v>
      </c>
      <c r="B3" s="23" t="s">
        <v>35</v>
      </c>
      <c r="C3" s="23" t="s">
        <v>2243</v>
      </c>
      <c r="D3" s="23" t="s">
        <v>1313</v>
      </c>
      <c r="E3" s="23" t="s">
        <v>2245</v>
      </c>
    </row>
    <row r="4" spans="1:5" ht="14.25" customHeight="1">
      <c r="A4" s="23" t="s">
        <v>2247</v>
      </c>
      <c r="B4" s="23" t="s">
        <v>251</v>
      </c>
      <c r="C4" s="23" t="s">
        <v>2243</v>
      </c>
      <c r="D4" s="23" t="s">
        <v>1266</v>
      </c>
      <c r="E4" s="23" t="s">
        <v>2245</v>
      </c>
    </row>
    <row r="5" spans="1:5" ht="14.25" customHeight="1">
      <c r="A5" s="23" t="s">
        <v>2248</v>
      </c>
      <c r="B5" s="23" t="s">
        <v>407</v>
      </c>
      <c r="C5" s="23" t="s">
        <v>2243</v>
      </c>
      <c r="D5" s="23" t="s">
        <v>1283</v>
      </c>
      <c r="E5" s="23" t="s">
        <v>2245</v>
      </c>
    </row>
    <row r="6" spans="1:5" ht="14.25" customHeight="1">
      <c r="A6" s="23" t="s">
        <v>2249</v>
      </c>
      <c r="B6" s="23" t="s">
        <v>611</v>
      </c>
      <c r="C6" s="23" t="s">
        <v>2243</v>
      </c>
      <c r="D6" s="23" t="s">
        <v>2250</v>
      </c>
      <c r="E6" s="23" t="s">
        <v>2245</v>
      </c>
    </row>
    <row r="7" spans="1:5" ht="14.25" customHeight="1">
      <c r="A7" s="23" t="s">
        <v>2251</v>
      </c>
      <c r="B7" s="23" t="s">
        <v>389</v>
      </c>
      <c r="C7" s="23" t="s">
        <v>2243</v>
      </c>
      <c r="D7" s="23" t="s">
        <v>2252</v>
      </c>
      <c r="E7" s="23" t="s">
        <v>2245</v>
      </c>
    </row>
    <row r="8" spans="1:5" ht="14.25" customHeight="1">
      <c r="A8" s="23" t="s">
        <v>2253</v>
      </c>
      <c r="B8" s="23" t="s">
        <v>786</v>
      </c>
      <c r="C8" s="23" t="s">
        <v>2243</v>
      </c>
      <c r="D8" s="23" t="s">
        <v>2254</v>
      </c>
      <c r="E8" s="23" t="s">
        <v>2245</v>
      </c>
    </row>
    <row r="9" spans="1:5" ht="14.25" customHeight="1">
      <c r="A9" s="23" t="s">
        <v>2255</v>
      </c>
      <c r="B9" s="23" t="s">
        <v>1081</v>
      </c>
      <c r="C9" s="23" t="s">
        <v>2256</v>
      </c>
      <c r="D9" s="23" t="s">
        <v>2257</v>
      </c>
      <c r="E9" s="23" t="s">
        <v>2258</v>
      </c>
    </row>
    <row r="10" spans="1:5" ht="14.25" customHeight="1">
      <c r="A10" s="23" t="s">
        <v>2259</v>
      </c>
      <c r="B10" s="23" t="s">
        <v>1065</v>
      </c>
      <c r="C10" s="23" t="s">
        <v>2260</v>
      </c>
      <c r="D10" s="23" t="s">
        <v>2261</v>
      </c>
      <c r="E10" s="23" t="s">
        <v>2262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3"/>
  <sheetViews>
    <sheetView zoomScaleNormal="100" workbookViewId="0"/>
  </sheetViews>
  <sheetFormatPr defaultColWidth="8.6640625" defaultRowHeight="14.25"/>
  <cols>
    <col min="1" max="1" width="28" customWidth="1"/>
    <col min="2" max="2" width="100" customWidth="1"/>
  </cols>
  <sheetData>
    <row r="1" spans="1:2" ht="36" customHeight="1">
      <c r="A1" s="15" t="s">
        <v>2263</v>
      </c>
      <c r="B1" s="15" t="s">
        <v>2264</v>
      </c>
    </row>
    <row r="2" spans="1:2" ht="36" customHeight="1">
      <c r="A2" s="23" t="s">
        <v>2265</v>
      </c>
      <c r="B2" s="23" t="s">
        <v>349</v>
      </c>
    </row>
    <row r="3" spans="1:2" ht="36" customHeight="1">
      <c r="A3" s="23" t="s">
        <v>2266</v>
      </c>
      <c r="B3" s="23" t="s">
        <v>2267</v>
      </c>
    </row>
    <row r="4" spans="1:2" ht="36" customHeight="1">
      <c r="A4" s="23" t="s">
        <v>2268</v>
      </c>
      <c r="B4" s="23" t="s">
        <v>2269</v>
      </c>
    </row>
    <row r="5" spans="1:2" ht="36" customHeight="1">
      <c r="A5" s="23" t="s">
        <v>2270</v>
      </c>
      <c r="B5" s="23" t="s">
        <v>2271</v>
      </c>
    </row>
    <row r="6" spans="1:2" ht="36" customHeight="1">
      <c r="A6" s="23" t="s">
        <v>2272</v>
      </c>
      <c r="B6" s="23" t="s">
        <v>2273</v>
      </c>
    </row>
    <row r="7" spans="1:2" ht="36" customHeight="1">
      <c r="A7" s="23" t="s">
        <v>2274</v>
      </c>
      <c r="B7" s="23" t="s">
        <v>2275</v>
      </c>
    </row>
    <row r="8" spans="1:2" ht="36" customHeight="1">
      <c r="A8" s="23" t="s">
        <v>2276</v>
      </c>
      <c r="B8" s="23" t="s">
        <v>2277</v>
      </c>
    </row>
    <row r="9" spans="1:2" ht="36" customHeight="1">
      <c r="A9" s="23" t="s">
        <v>2278</v>
      </c>
      <c r="B9" s="23" t="s">
        <v>2279</v>
      </c>
    </row>
    <row r="10" spans="1:2" ht="36" customHeight="1">
      <c r="A10" s="23" t="s">
        <v>2280</v>
      </c>
      <c r="B10" s="23" t="s">
        <v>2281</v>
      </c>
    </row>
    <row r="11" spans="1:2" ht="36" customHeight="1">
      <c r="A11" s="23" t="s">
        <v>2282</v>
      </c>
      <c r="B11" s="23" t="s">
        <v>2283</v>
      </c>
    </row>
    <row r="12" spans="1:2" ht="36" customHeight="1">
      <c r="A12" s="23" t="s">
        <v>2284</v>
      </c>
      <c r="B12" s="23" t="s">
        <v>2285</v>
      </c>
    </row>
    <row r="13" spans="1:2" ht="14.25" customHeight="1"/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8"/>
  <sheetViews>
    <sheetView zoomScaleNormal="100" workbookViewId="0"/>
  </sheetViews>
  <sheetFormatPr defaultColWidth="8.6640625" defaultRowHeight="14.25"/>
  <cols>
    <col min="1" max="1" width="50" customWidth="1"/>
    <col min="2" max="2" width="10" customWidth="1"/>
    <col min="3" max="3" width="50" customWidth="1"/>
  </cols>
  <sheetData>
    <row r="1" spans="1:3" ht="36" customHeight="1">
      <c r="A1" s="15" t="s">
        <v>2286</v>
      </c>
      <c r="B1" s="15" t="s">
        <v>2287</v>
      </c>
      <c r="C1" s="15" t="s">
        <v>2288</v>
      </c>
    </row>
    <row r="2" spans="1:3" ht="16.5" customHeight="1">
      <c r="A2" s="24" t="s">
        <v>2289</v>
      </c>
      <c r="B2" s="25" t="s">
        <v>1801</v>
      </c>
      <c r="C2" s="23" t="s">
        <v>2290</v>
      </c>
    </row>
    <row r="3" spans="1:3" ht="16.5" customHeight="1">
      <c r="A3" s="24" t="s">
        <v>2291</v>
      </c>
      <c r="B3" s="25" t="s">
        <v>1801</v>
      </c>
      <c r="C3" s="23" t="s">
        <v>2292</v>
      </c>
    </row>
    <row r="4" spans="1:3" ht="16.5" customHeight="1">
      <c r="A4" s="23" t="s">
        <v>2293</v>
      </c>
      <c r="B4" s="25" t="s">
        <v>1801</v>
      </c>
      <c r="C4" s="23" t="s">
        <v>2294</v>
      </c>
    </row>
    <row r="5" spans="1:3" ht="16.5" customHeight="1">
      <c r="A5" s="23" t="s">
        <v>2295</v>
      </c>
      <c r="B5" s="25" t="s">
        <v>1801</v>
      </c>
      <c r="C5" s="23" t="s">
        <v>2296</v>
      </c>
    </row>
    <row r="6" spans="1:3" ht="16.5" customHeight="1">
      <c r="A6" s="23" t="s">
        <v>2297</v>
      </c>
      <c r="B6" s="25" t="s">
        <v>1801</v>
      </c>
      <c r="C6" s="23" t="s">
        <v>563</v>
      </c>
    </row>
    <row r="7" spans="1:3" ht="16.5" customHeight="1">
      <c r="A7" s="24" t="s">
        <v>2298</v>
      </c>
      <c r="B7" s="25" t="s">
        <v>1801</v>
      </c>
      <c r="C7" s="23" t="s">
        <v>2299</v>
      </c>
    </row>
    <row r="8" spans="1:3" ht="16.5" customHeight="1">
      <c r="A8" s="24" t="s">
        <v>2300</v>
      </c>
      <c r="B8" s="25" t="s">
        <v>1801</v>
      </c>
      <c r="C8" s="23" t="s">
        <v>2301</v>
      </c>
    </row>
    <row r="9" spans="1:3" ht="16.5" customHeight="1">
      <c r="A9" s="24" t="s">
        <v>2302</v>
      </c>
      <c r="B9" s="25" t="s">
        <v>1801</v>
      </c>
      <c r="C9" s="23" t="s">
        <v>2303</v>
      </c>
    </row>
    <row r="10" spans="1:3" ht="16.5" customHeight="1">
      <c r="A10" s="23" t="s">
        <v>2304</v>
      </c>
      <c r="B10" s="25" t="s">
        <v>1801</v>
      </c>
      <c r="C10" s="23" t="s">
        <v>2305</v>
      </c>
    </row>
    <row r="11" spans="1:3" ht="16.5" customHeight="1">
      <c r="A11" s="24" t="s">
        <v>2306</v>
      </c>
      <c r="B11" s="25" t="s">
        <v>1801</v>
      </c>
      <c r="C11" s="23" t="s">
        <v>2307</v>
      </c>
    </row>
    <row r="12" spans="1:3" ht="30" customHeight="1">
      <c r="A12" s="24" t="s">
        <v>2308</v>
      </c>
      <c r="B12" s="25" t="s">
        <v>1801</v>
      </c>
      <c r="C12" s="23" t="s">
        <v>2309</v>
      </c>
    </row>
    <row r="13" spans="1:3" ht="16.5" customHeight="1">
      <c r="A13" s="24" t="s">
        <v>2310</v>
      </c>
      <c r="B13" s="25" t="s">
        <v>1801</v>
      </c>
      <c r="C13" s="23" t="s">
        <v>2311</v>
      </c>
    </row>
    <row r="14" spans="1:3" ht="14.25" customHeight="1">
      <c r="A14" t="s">
        <v>2312</v>
      </c>
      <c r="B14" t="s">
        <v>2313</v>
      </c>
      <c r="C14" t="s">
        <v>2314</v>
      </c>
    </row>
    <row r="15" spans="1:3" ht="14.25" customHeight="1">
      <c r="A15" t="s">
        <v>2315</v>
      </c>
      <c r="B15" t="s">
        <v>2313</v>
      </c>
      <c r="C15" t="s">
        <v>2316</v>
      </c>
    </row>
    <row r="16" spans="1:3" ht="14.25" customHeight="1">
      <c r="A16" t="s">
        <v>2317</v>
      </c>
      <c r="B16" t="s">
        <v>2313</v>
      </c>
      <c r="C16" t="s">
        <v>2318</v>
      </c>
    </row>
    <row r="17" spans="1:3" ht="14.25" customHeight="1">
      <c r="A17" t="s">
        <v>2319</v>
      </c>
      <c r="B17" t="s">
        <v>2313</v>
      </c>
      <c r="C17" t="s">
        <v>2320</v>
      </c>
    </row>
    <row r="18" spans="1:3" ht="14.25" customHeight="1">
      <c r="A18" t="s">
        <v>2321</v>
      </c>
      <c r="B18" t="s">
        <v>2313</v>
      </c>
      <c r="C18" t="s">
        <v>2322</v>
      </c>
    </row>
    <row r="19" spans="1:3" ht="14.25" customHeight="1">
      <c r="A19" t="s">
        <v>2323</v>
      </c>
      <c r="B19" t="s">
        <v>2324</v>
      </c>
      <c r="C19" t="s">
        <v>2325</v>
      </c>
    </row>
    <row r="20" spans="1:3" ht="14.25" customHeight="1">
      <c r="A20" t="s">
        <v>2326</v>
      </c>
      <c r="B20" t="s">
        <v>2313</v>
      </c>
      <c r="C20" t="s">
        <v>2327</v>
      </c>
    </row>
    <row r="21" spans="1:3" ht="14.25" customHeight="1">
      <c r="A21" t="s">
        <v>2328</v>
      </c>
      <c r="B21" t="s">
        <v>2313</v>
      </c>
      <c r="C21" t="s">
        <v>2329</v>
      </c>
    </row>
    <row r="22" spans="1:3" ht="14.25" customHeight="1">
      <c r="A22" t="s">
        <v>2330</v>
      </c>
      <c r="B22" t="s">
        <v>2331</v>
      </c>
      <c r="C22" t="s">
        <v>2332</v>
      </c>
    </row>
    <row r="23" spans="1:3" ht="14.25" customHeight="1">
      <c r="A23" t="s">
        <v>2333</v>
      </c>
      <c r="B23" t="s">
        <v>2313</v>
      </c>
      <c r="C23" t="s">
        <v>2334</v>
      </c>
    </row>
    <row r="24" spans="1:3" ht="14.25" customHeight="1">
      <c r="A24" t="s">
        <v>2335</v>
      </c>
      <c r="B24" t="s">
        <v>2313</v>
      </c>
      <c r="C24" t="s">
        <v>2336</v>
      </c>
    </row>
    <row r="25" spans="1:3" ht="14.25" customHeight="1">
      <c r="A25" t="s">
        <v>2337</v>
      </c>
      <c r="B25" t="s">
        <v>2313</v>
      </c>
      <c r="C25" t="s">
        <v>2338</v>
      </c>
    </row>
    <row r="26" spans="1:3" ht="14.25" customHeight="1">
      <c r="A26" t="s">
        <v>2339</v>
      </c>
      <c r="B26" t="s">
        <v>2313</v>
      </c>
      <c r="C26" t="s">
        <v>2340</v>
      </c>
    </row>
    <row r="27" spans="1:3" ht="14.25" customHeight="1">
      <c r="A27" t="s">
        <v>2341</v>
      </c>
      <c r="B27" t="s">
        <v>2313</v>
      </c>
      <c r="C27" t="s">
        <v>2342</v>
      </c>
    </row>
    <row r="28" spans="1:3" ht="14.25" customHeight="1">
      <c r="A28" t="s">
        <v>2343</v>
      </c>
      <c r="B28" t="s">
        <v>2313</v>
      </c>
      <c r="C28" t="s">
        <v>2344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6"/>
  <sheetViews>
    <sheetView zoomScaleNormal="100" workbookViewId="0"/>
  </sheetViews>
  <sheetFormatPr defaultColWidth="8.6640625" defaultRowHeight="14.25"/>
  <cols>
    <col min="1" max="1" width="4" customWidth="1"/>
    <col min="2" max="2" width="11" customWidth="1"/>
    <col min="3" max="3" width="26" customWidth="1"/>
    <col min="4" max="4" width="18" customWidth="1"/>
    <col min="5" max="5" width="14" customWidth="1"/>
    <col min="6" max="6" width="22" customWidth="1"/>
    <col min="7" max="8" width="16" customWidth="1"/>
    <col min="9" max="9" width="80" customWidth="1"/>
    <col min="10" max="10" width="50" customWidth="1"/>
  </cols>
  <sheetData>
    <row r="1" spans="1:10" ht="15" customHeight="1">
      <c r="A1" s="17" t="s">
        <v>2345</v>
      </c>
      <c r="B1" s="17" t="s">
        <v>2346</v>
      </c>
      <c r="C1" s="17" t="s">
        <v>2347</v>
      </c>
      <c r="D1" s="17" t="s">
        <v>2348</v>
      </c>
      <c r="E1" s="17" t="s">
        <v>2239</v>
      </c>
      <c r="F1" s="17" t="s">
        <v>2349</v>
      </c>
      <c r="G1" s="17" t="s">
        <v>2350</v>
      </c>
      <c r="H1" s="17" t="s">
        <v>2351</v>
      </c>
      <c r="I1" s="17" t="s">
        <v>2352</v>
      </c>
      <c r="J1" s="47" t="s">
        <v>78</v>
      </c>
    </row>
    <row r="2" spans="1:10" ht="27.75" customHeight="1">
      <c r="A2" s="48">
        <v>1</v>
      </c>
      <c r="B2" s="48" t="s">
        <v>2353</v>
      </c>
      <c r="C2" s="48" t="s">
        <v>2354</v>
      </c>
      <c r="D2" s="48" t="s">
        <v>2355</v>
      </c>
      <c r="E2" s="48" t="s">
        <v>827</v>
      </c>
      <c r="F2" s="48" t="s">
        <v>75</v>
      </c>
      <c r="G2" s="48">
        <v>8.3780000000000001</v>
      </c>
      <c r="H2" s="48">
        <v>0.94662651959999999</v>
      </c>
      <c r="I2" s="49" t="s">
        <v>2356</v>
      </c>
      <c r="J2" s="49" t="s">
        <v>2357</v>
      </c>
    </row>
    <row r="3" spans="1:10" ht="27.75" customHeight="1">
      <c r="A3" s="48">
        <v>2</v>
      </c>
      <c r="B3" s="48" t="s">
        <v>2353</v>
      </c>
      <c r="C3" s="48" t="s">
        <v>2354</v>
      </c>
      <c r="D3" s="48" t="s">
        <v>2358</v>
      </c>
      <c r="E3" s="48" t="s">
        <v>1231</v>
      </c>
      <c r="F3" s="48" t="s">
        <v>75</v>
      </c>
      <c r="G3" s="48">
        <v>149.86666666670001</v>
      </c>
      <c r="H3" s="48">
        <v>173.99380804949999</v>
      </c>
      <c r="I3" s="49" t="s">
        <v>2359</v>
      </c>
      <c r="J3" s="49" t="s">
        <v>2360</v>
      </c>
    </row>
    <row r="4" spans="1:10" ht="27.75" customHeight="1">
      <c r="A4" s="48">
        <v>3</v>
      </c>
      <c r="B4" s="48" t="s">
        <v>2353</v>
      </c>
      <c r="C4" s="48" t="s">
        <v>2354</v>
      </c>
      <c r="D4" s="48" t="s">
        <v>2361</v>
      </c>
      <c r="E4" s="48" t="s">
        <v>813</v>
      </c>
      <c r="F4" s="48" t="s">
        <v>75</v>
      </c>
      <c r="G4" s="48">
        <v>60.176049999999996</v>
      </c>
      <c r="H4" s="48">
        <v>53.264925868500001</v>
      </c>
      <c r="I4" s="49" t="s">
        <v>2362</v>
      </c>
      <c r="J4" s="49" t="s">
        <v>2363</v>
      </c>
    </row>
    <row r="5" spans="1:10" ht="27.75" customHeight="1">
      <c r="A5" s="48">
        <v>4</v>
      </c>
      <c r="B5" s="48" t="s">
        <v>2353</v>
      </c>
      <c r="C5" s="48" t="s">
        <v>2354</v>
      </c>
      <c r="D5" s="48" t="s">
        <v>2364</v>
      </c>
      <c r="E5" s="48" t="s">
        <v>510</v>
      </c>
      <c r="F5" s="48" t="s">
        <v>75</v>
      </c>
      <c r="G5" s="48">
        <v>2.3944954128</v>
      </c>
      <c r="H5" s="48">
        <v>2.8369565216999999</v>
      </c>
      <c r="I5" s="49" t="s">
        <v>2365</v>
      </c>
      <c r="J5" s="49" t="s">
        <v>2366</v>
      </c>
    </row>
    <row r="6" spans="1:10" ht="68.25" customHeight="1">
      <c r="A6" s="48">
        <v>5</v>
      </c>
      <c r="B6" s="48" t="s">
        <v>2353</v>
      </c>
      <c r="C6" s="48" t="s">
        <v>2354</v>
      </c>
      <c r="D6" s="48" t="s">
        <v>2367</v>
      </c>
      <c r="E6" s="48" t="s">
        <v>648</v>
      </c>
      <c r="F6" s="48" t="s">
        <v>75</v>
      </c>
      <c r="G6" s="48">
        <v>3.5641666666999998</v>
      </c>
      <c r="H6" s="48">
        <v>3.0726727661000002</v>
      </c>
      <c r="I6" s="49" t="s">
        <v>2368</v>
      </c>
      <c r="J6" s="49" t="s">
        <v>2369</v>
      </c>
    </row>
    <row r="7" spans="1:10" ht="41.25" customHeight="1">
      <c r="A7" s="48">
        <v>6</v>
      </c>
      <c r="B7" s="48" t="s">
        <v>2353</v>
      </c>
      <c r="C7" s="48" t="s">
        <v>2354</v>
      </c>
      <c r="D7" s="48" t="s">
        <v>2370</v>
      </c>
      <c r="E7" s="48" t="s">
        <v>1066</v>
      </c>
      <c r="F7" s="48" t="s">
        <v>90</v>
      </c>
      <c r="G7" s="48">
        <v>12</v>
      </c>
      <c r="H7" s="48">
        <v>10</v>
      </c>
      <c r="I7" s="49" t="s">
        <v>2371</v>
      </c>
      <c r="J7" s="49" t="s">
        <v>1075</v>
      </c>
    </row>
    <row r="8" spans="1:10" ht="27.75" customHeight="1">
      <c r="A8" s="48">
        <v>7</v>
      </c>
      <c r="B8" s="48" t="s">
        <v>2353</v>
      </c>
      <c r="C8" s="48" t="s">
        <v>2354</v>
      </c>
      <c r="D8" s="48" t="s">
        <v>2372</v>
      </c>
      <c r="E8" s="48" t="s">
        <v>701</v>
      </c>
      <c r="F8" s="48" t="s">
        <v>92</v>
      </c>
      <c r="G8" s="48" t="s">
        <v>222</v>
      </c>
      <c r="H8" s="48" t="s">
        <v>708</v>
      </c>
      <c r="I8" s="49" t="s">
        <v>2373</v>
      </c>
      <c r="J8" s="49" t="s">
        <v>709</v>
      </c>
    </row>
    <row r="9" spans="1:10" ht="15" customHeight="1">
      <c r="A9" s="48">
        <v>8</v>
      </c>
      <c r="B9" s="48" t="s">
        <v>2353</v>
      </c>
      <c r="C9" s="48" t="s">
        <v>2374</v>
      </c>
      <c r="D9" s="48" t="s">
        <v>2375</v>
      </c>
      <c r="E9" s="48" t="s">
        <v>2376</v>
      </c>
      <c r="F9" s="48" t="s">
        <v>1790</v>
      </c>
      <c r="G9" s="48" t="s">
        <v>2377</v>
      </c>
      <c r="H9" s="48" t="s">
        <v>2378</v>
      </c>
      <c r="I9" s="49" t="s">
        <v>2379</v>
      </c>
      <c r="J9" s="49" t="s">
        <v>2380</v>
      </c>
    </row>
    <row r="10" spans="1:10" ht="15" customHeight="1">
      <c r="A10" s="48">
        <v>9</v>
      </c>
      <c r="B10" s="48" t="s">
        <v>2353</v>
      </c>
      <c r="C10" s="48" t="s">
        <v>2381</v>
      </c>
      <c r="D10" s="48" t="s">
        <v>2382</v>
      </c>
      <c r="E10" s="48" t="s">
        <v>2383</v>
      </c>
      <c r="F10" s="48" t="s">
        <v>2384</v>
      </c>
      <c r="G10" s="48" t="s">
        <v>2385</v>
      </c>
      <c r="H10" s="48" t="s">
        <v>2386</v>
      </c>
      <c r="I10" s="49" t="s">
        <v>2387</v>
      </c>
      <c r="J10" s="49" t="s">
        <v>2388</v>
      </c>
    </row>
    <row r="11" spans="1:10" ht="68.25" customHeight="1">
      <c r="A11" s="48">
        <v>10</v>
      </c>
      <c r="B11" s="48" t="s">
        <v>2389</v>
      </c>
      <c r="C11" s="48" t="s">
        <v>2354</v>
      </c>
      <c r="D11" s="48" t="s">
        <v>2390</v>
      </c>
      <c r="E11" s="48" t="s">
        <v>423</v>
      </c>
      <c r="F11" s="48" t="s">
        <v>90</v>
      </c>
      <c r="G11" s="48">
        <v>829</v>
      </c>
      <c r="H11" s="48">
        <v>785</v>
      </c>
      <c r="I11" s="49" t="s">
        <v>2391</v>
      </c>
      <c r="J11" s="49" t="s">
        <v>2392</v>
      </c>
    </row>
    <row r="12" spans="1:10" ht="41.25" customHeight="1">
      <c r="A12" s="50">
        <v>11</v>
      </c>
      <c r="B12" s="48" t="s">
        <v>2389</v>
      </c>
      <c r="C12" s="48" t="s">
        <v>2354</v>
      </c>
      <c r="D12" s="48" t="s">
        <v>2393</v>
      </c>
      <c r="E12" s="48" t="s">
        <v>598</v>
      </c>
      <c r="F12" s="48" t="s">
        <v>90</v>
      </c>
      <c r="G12" s="48">
        <v>28</v>
      </c>
      <c r="H12" s="48">
        <v>48</v>
      </c>
      <c r="I12" s="49" t="s">
        <v>2394</v>
      </c>
      <c r="J12" s="49" t="s">
        <v>2395</v>
      </c>
    </row>
    <row r="13" spans="1:10" ht="45" customHeight="1">
      <c r="A13" s="48">
        <v>12</v>
      </c>
      <c r="B13" s="48" t="s">
        <v>2389</v>
      </c>
      <c r="C13" s="48" t="s">
        <v>2354</v>
      </c>
      <c r="D13" s="48" t="s">
        <v>2396</v>
      </c>
      <c r="E13" s="48" t="s">
        <v>1050</v>
      </c>
      <c r="F13" s="48" t="s">
        <v>90</v>
      </c>
      <c r="G13" s="48">
        <v>13000</v>
      </c>
      <c r="H13" s="48">
        <v>5346</v>
      </c>
      <c r="I13" s="49" t="s">
        <v>2397</v>
      </c>
      <c r="J13" s="49" t="s">
        <v>2398</v>
      </c>
    </row>
    <row r="14" spans="1:10" ht="27.75" customHeight="1">
      <c r="A14" s="48">
        <v>13</v>
      </c>
      <c r="B14" s="48" t="s">
        <v>2389</v>
      </c>
      <c r="C14" s="48" t="s">
        <v>2354</v>
      </c>
      <c r="D14" s="48" t="s">
        <v>2399</v>
      </c>
      <c r="E14" s="48" t="s">
        <v>1013</v>
      </c>
      <c r="F14" s="48" t="s">
        <v>73</v>
      </c>
      <c r="G14" s="48">
        <v>663000000000</v>
      </c>
      <c r="H14" s="48">
        <v>769477025679.52002</v>
      </c>
      <c r="I14" s="49" t="s">
        <v>2400</v>
      </c>
      <c r="J14" s="49" t="s">
        <v>1017</v>
      </c>
    </row>
    <row r="15" spans="1:10" ht="15" customHeight="1">
      <c r="A15" s="48">
        <v>14</v>
      </c>
      <c r="B15" s="48" t="s">
        <v>2389</v>
      </c>
      <c r="C15" s="48" t="s">
        <v>2354</v>
      </c>
      <c r="D15" s="48" t="s">
        <v>2401</v>
      </c>
      <c r="E15" s="48" t="s">
        <v>1013</v>
      </c>
      <c r="F15" s="48" t="s">
        <v>75</v>
      </c>
      <c r="G15" s="48">
        <v>0.14733333330000001</v>
      </c>
      <c r="H15" s="48">
        <v>0.1709948946</v>
      </c>
      <c r="I15" s="49" t="s">
        <v>2402</v>
      </c>
      <c r="J15" s="49" t="s">
        <v>1017</v>
      </c>
    </row>
    <row r="16" spans="1:10" ht="15" customHeight="1">
      <c r="A16" s="48">
        <v>15</v>
      </c>
      <c r="B16" s="48" t="s">
        <v>2389</v>
      </c>
      <c r="C16" s="48" t="s">
        <v>2403</v>
      </c>
      <c r="D16" s="48" t="s">
        <v>2404</v>
      </c>
      <c r="E16" s="48" t="s">
        <v>2405</v>
      </c>
      <c r="F16" s="48" t="s">
        <v>2406</v>
      </c>
      <c r="G16" s="48" t="s">
        <v>2407</v>
      </c>
      <c r="H16" s="48" t="s">
        <v>2408</v>
      </c>
      <c r="I16" s="49" t="s">
        <v>2409</v>
      </c>
      <c r="J16" s="49" t="s">
        <v>2410</v>
      </c>
    </row>
    <row r="17" spans="1:10" ht="54.75" customHeight="1">
      <c r="A17" s="48">
        <v>16</v>
      </c>
      <c r="B17" s="48" t="s">
        <v>2389</v>
      </c>
      <c r="C17" s="48" t="s">
        <v>2411</v>
      </c>
      <c r="D17" s="48" t="s">
        <v>2412</v>
      </c>
      <c r="E17" s="48" t="s">
        <v>2413</v>
      </c>
      <c r="F17" s="48" t="s">
        <v>2405</v>
      </c>
      <c r="G17" s="48" t="s">
        <v>2405</v>
      </c>
      <c r="H17" s="48" t="s">
        <v>2405</v>
      </c>
      <c r="I17" s="49" t="s">
        <v>2414</v>
      </c>
      <c r="J17" s="49" t="s">
        <v>2415</v>
      </c>
    </row>
    <row r="18" spans="1:10" ht="54.75" customHeight="1">
      <c r="A18" s="48">
        <v>17</v>
      </c>
      <c r="B18" s="48" t="s">
        <v>2389</v>
      </c>
      <c r="C18" s="48" t="s">
        <v>2354</v>
      </c>
      <c r="D18" s="48" t="s">
        <v>2416</v>
      </c>
      <c r="E18" s="48" t="s">
        <v>2417</v>
      </c>
      <c r="F18" s="48" t="s">
        <v>96</v>
      </c>
      <c r="G18" s="48" t="s">
        <v>2405</v>
      </c>
      <c r="H18" s="48" t="s">
        <v>2418</v>
      </c>
      <c r="I18" s="49" t="s">
        <v>2419</v>
      </c>
      <c r="J18" s="49" t="s">
        <v>2420</v>
      </c>
    </row>
    <row r="19" spans="1:10" ht="27.75" customHeight="1">
      <c r="A19" s="48">
        <v>18</v>
      </c>
      <c r="B19" s="48" t="s">
        <v>2353</v>
      </c>
      <c r="C19" s="48" t="s">
        <v>2354</v>
      </c>
      <c r="D19" s="48" t="s">
        <v>2421</v>
      </c>
      <c r="E19" s="48" t="s">
        <v>524</v>
      </c>
      <c r="F19" s="48" t="s">
        <v>2422</v>
      </c>
      <c r="G19" s="48" t="s">
        <v>2405</v>
      </c>
      <c r="H19" s="48" t="s">
        <v>2423</v>
      </c>
      <c r="I19" s="49" t="s">
        <v>2424</v>
      </c>
      <c r="J19" s="49" t="s">
        <v>2425</v>
      </c>
    </row>
    <row r="20" spans="1:10" ht="45" customHeight="1">
      <c r="A20" s="1">
        <v>19</v>
      </c>
      <c r="B20" s="1"/>
      <c r="C20" s="1"/>
      <c r="D20" s="1"/>
      <c r="E20" s="1"/>
      <c r="F20" s="1"/>
      <c r="G20" s="1"/>
      <c r="H20" s="1"/>
      <c r="I20" s="1"/>
      <c r="J20" s="49" t="s">
        <v>981</v>
      </c>
    </row>
    <row r="21" spans="1:10" ht="54.75" customHeight="1">
      <c r="A21" s="48">
        <v>20</v>
      </c>
      <c r="B21" s="48" t="s">
        <v>2353</v>
      </c>
      <c r="C21" s="48" t="s">
        <v>2354</v>
      </c>
      <c r="D21" s="48" t="s">
        <v>2426</v>
      </c>
      <c r="E21" s="48" t="s">
        <v>55</v>
      </c>
      <c r="F21" s="48" t="s">
        <v>2427</v>
      </c>
      <c r="G21" s="48" t="s">
        <v>2428</v>
      </c>
      <c r="H21" s="48" t="s">
        <v>2429</v>
      </c>
      <c r="I21" s="49" t="s">
        <v>2430</v>
      </c>
      <c r="J21" s="49" t="s">
        <v>2431</v>
      </c>
    </row>
    <row r="22" spans="1:10" ht="41.25" customHeight="1">
      <c r="A22" s="48">
        <v>21</v>
      </c>
      <c r="B22" s="48" t="s">
        <v>2353</v>
      </c>
      <c r="C22" s="48" t="s">
        <v>2354</v>
      </c>
      <c r="D22" s="48" t="s">
        <v>2432</v>
      </c>
      <c r="E22" s="48" t="s">
        <v>2433</v>
      </c>
      <c r="F22" s="48" t="s">
        <v>2427</v>
      </c>
      <c r="G22" s="48" t="s">
        <v>2434</v>
      </c>
      <c r="H22" s="48" t="s">
        <v>2435</v>
      </c>
      <c r="I22" s="49" t="s">
        <v>2436</v>
      </c>
      <c r="J22" s="49" t="s">
        <v>2437</v>
      </c>
    </row>
    <row r="23" spans="1:10" ht="41.25" customHeight="1">
      <c r="A23" s="48">
        <v>22</v>
      </c>
      <c r="B23" s="48" t="s">
        <v>2353</v>
      </c>
      <c r="C23" s="48" t="s">
        <v>2354</v>
      </c>
      <c r="D23" s="48" t="s">
        <v>2438</v>
      </c>
      <c r="E23" s="48" t="s">
        <v>57</v>
      </c>
      <c r="F23" s="48" t="s">
        <v>2427</v>
      </c>
      <c r="G23" s="48" t="s">
        <v>2439</v>
      </c>
      <c r="H23" s="48" t="s">
        <v>2440</v>
      </c>
      <c r="I23" s="49" t="s">
        <v>2441</v>
      </c>
      <c r="J23" s="49" t="s">
        <v>2442</v>
      </c>
    </row>
    <row r="24" spans="1:10" ht="54.75" customHeight="1">
      <c r="A24" s="48">
        <v>23</v>
      </c>
      <c r="B24" s="48" t="s">
        <v>2353</v>
      </c>
      <c r="C24" s="48" t="s">
        <v>2354</v>
      </c>
      <c r="D24" s="48" t="s">
        <v>2443</v>
      </c>
      <c r="E24" s="48" t="s">
        <v>325</v>
      </c>
      <c r="F24" s="48" t="s">
        <v>2427</v>
      </c>
      <c r="G24" s="48" t="s">
        <v>2444</v>
      </c>
      <c r="H24" s="48" t="s">
        <v>2445</v>
      </c>
      <c r="I24" s="49" t="s">
        <v>2446</v>
      </c>
      <c r="J24" s="49" t="s">
        <v>2447</v>
      </c>
    </row>
    <row r="25" spans="1:10" ht="41.25" customHeight="1">
      <c r="A25" s="48">
        <v>24</v>
      </c>
      <c r="B25" s="48" t="s">
        <v>2353</v>
      </c>
      <c r="C25" s="48" t="s">
        <v>2354</v>
      </c>
      <c r="D25" s="48" t="s">
        <v>2448</v>
      </c>
      <c r="E25" s="48" t="s">
        <v>802</v>
      </c>
      <c r="F25" s="48" t="s">
        <v>2427</v>
      </c>
      <c r="G25" s="48" t="s">
        <v>2449</v>
      </c>
      <c r="H25" s="48" t="s">
        <v>2450</v>
      </c>
      <c r="I25" s="49" t="s">
        <v>2451</v>
      </c>
      <c r="J25" s="49" t="s">
        <v>2452</v>
      </c>
    </row>
    <row r="26" spans="1:10" ht="41.25" customHeight="1">
      <c r="A26" s="48">
        <v>25</v>
      </c>
      <c r="B26" s="48" t="s">
        <v>2353</v>
      </c>
      <c r="C26" s="48" t="s">
        <v>2354</v>
      </c>
      <c r="D26" s="48" t="s">
        <v>2453</v>
      </c>
      <c r="E26" s="48" t="s">
        <v>701</v>
      </c>
      <c r="F26" s="48" t="s">
        <v>2427</v>
      </c>
      <c r="G26" s="48" t="s">
        <v>2454</v>
      </c>
      <c r="H26" s="48" t="s">
        <v>2455</v>
      </c>
      <c r="I26" s="49" t="s">
        <v>2456</v>
      </c>
      <c r="J26" s="49" t="s">
        <v>2457</v>
      </c>
    </row>
    <row r="27" spans="1:10" ht="81.75" customHeight="1">
      <c r="A27" s="48">
        <v>26</v>
      </c>
      <c r="B27" s="48" t="s">
        <v>2353</v>
      </c>
      <c r="C27" s="48" t="s">
        <v>2458</v>
      </c>
      <c r="D27" s="48" t="s">
        <v>2459</v>
      </c>
      <c r="E27" s="48" t="s">
        <v>2460</v>
      </c>
      <c r="F27" s="48" t="s">
        <v>2405</v>
      </c>
      <c r="G27" s="48" t="s">
        <v>2405</v>
      </c>
      <c r="H27" s="48" t="s">
        <v>2405</v>
      </c>
      <c r="I27" s="49" t="s">
        <v>2461</v>
      </c>
      <c r="J27" s="49" t="s">
        <v>2462</v>
      </c>
    </row>
    <row r="28" spans="1:10" ht="68.25" customHeight="1">
      <c r="A28" s="48">
        <v>27</v>
      </c>
      <c r="B28" s="48" t="s">
        <v>2353</v>
      </c>
      <c r="C28" s="48" t="s">
        <v>2354</v>
      </c>
      <c r="D28" s="48" t="s">
        <v>2463</v>
      </c>
      <c r="E28" s="48" t="s">
        <v>2464</v>
      </c>
      <c r="F28" s="48" t="s">
        <v>2465</v>
      </c>
      <c r="G28" s="48" t="s">
        <v>2466</v>
      </c>
      <c r="H28" s="48" t="s">
        <v>2467</v>
      </c>
      <c r="I28" s="49" t="s">
        <v>2468</v>
      </c>
      <c r="J28" s="49" t="s">
        <v>2469</v>
      </c>
    </row>
    <row r="29" spans="1:10" ht="54.75" customHeight="1">
      <c r="A29" s="48">
        <v>28</v>
      </c>
      <c r="B29" s="48" t="s">
        <v>2353</v>
      </c>
      <c r="C29" s="48" t="s">
        <v>2354</v>
      </c>
      <c r="D29" s="48" t="s">
        <v>2426</v>
      </c>
      <c r="E29" s="48" t="s">
        <v>55</v>
      </c>
      <c r="F29" s="48" t="s">
        <v>2470</v>
      </c>
      <c r="G29" s="48" t="s">
        <v>2429</v>
      </c>
      <c r="H29" s="48" t="s">
        <v>2471</v>
      </c>
      <c r="I29" s="49" t="s">
        <v>2472</v>
      </c>
      <c r="J29" s="49" t="s">
        <v>2013</v>
      </c>
    </row>
    <row r="30" spans="1:10" ht="95.25" customHeight="1">
      <c r="A30" s="48">
        <v>29</v>
      </c>
      <c r="B30" s="48" t="s">
        <v>2353</v>
      </c>
      <c r="C30" s="48" t="s">
        <v>2354</v>
      </c>
      <c r="D30" s="48" t="s">
        <v>2473</v>
      </c>
      <c r="E30" s="48" t="s">
        <v>55</v>
      </c>
      <c r="F30" s="48" t="s">
        <v>2474</v>
      </c>
      <c r="G30" s="48" t="s">
        <v>2428</v>
      </c>
      <c r="H30" s="48" t="s">
        <v>2475</v>
      </c>
      <c r="I30" s="49" t="s">
        <v>2476</v>
      </c>
      <c r="J30" s="49" t="s">
        <v>2477</v>
      </c>
    </row>
    <row r="31" spans="1:10" ht="41.25" customHeight="1">
      <c r="A31" s="48">
        <v>30</v>
      </c>
      <c r="B31" s="48" t="s">
        <v>2353</v>
      </c>
      <c r="C31" s="48" t="s">
        <v>2354</v>
      </c>
      <c r="D31" s="48" t="s">
        <v>2478</v>
      </c>
      <c r="E31" s="48" t="s">
        <v>2433</v>
      </c>
      <c r="F31" s="48" t="s">
        <v>2474</v>
      </c>
      <c r="G31" s="48" t="s">
        <v>2434</v>
      </c>
      <c r="H31" s="48" t="s">
        <v>2479</v>
      </c>
      <c r="I31" s="49" t="s">
        <v>2480</v>
      </c>
      <c r="J31" s="49" t="s">
        <v>2481</v>
      </c>
    </row>
    <row r="32" spans="1:10" ht="54.75" customHeight="1">
      <c r="A32" s="48">
        <v>31</v>
      </c>
      <c r="B32" s="48" t="s">
        <v>2353</v>
      </c>
      <c r="C32" s="48" t="s">
        <v>2354</v>
      </c>
      <c r="D32" s="48" t="s">
        <v>2482</v>
      </c>
      <c r="E32" s="48" t="s">
        <v>57</v>
      </c>
      <c r="F32" s="48" t="s">
        <v>2474</v>
      </c>
      <c r="G32" s="48" t="s">
        <v>2439</v>
      </c>
      <c r="H32" s="48" t="s">
        <v>2483</v>
      </c>
      <c r="I32" s="49" t="s">
        <v>2484</v>
      </c>
      <c r="J32" s="49" t="s">
        <v>2485</v>
      </c>
    </row>
    <row r="33" spans="1:10" ht="54.75" customHeight="1">
      <c r="A33" s="48">
        <v>32</v>
      </c>
      <c r="B33" s="48" t="s">
        <v>2353</v>
      </c>
      <c r="C33" s="48" t="s">
        <v>2354</v>
      </c>
      <c r="D33" s="48" t="s">
        <v>2486</v>
      </c>
      <c r="E33" s="48" t="s">
        <v>325</v>
      </c>
      <c r="F33" s="48" t="s">
        <v>2474</v>
      </c>
      <c r="G33" s="48" t="s">
        <v>2444</v>
      </c>
      <c r="H33" s="48" t="s">
        <v>2487</v>
      </c>
      <c r="I33" s="49" t="s">
        <v>2488</v>
      </c>
      <c r="J33" s="49" t="s">
        <v>2489</v>
      </c>
    </row>
    <row r="34" spans="1:10" ht="41.25" customHeight="1">
      <c r="A34" s="48">
        <v>33</v>
      </c>
      <c r="B34" s="48" t="s">
        <v>2353</v>
      </c>
      <c r="C34" s="48" t="s">
        <v>2354</v>
      </c>
      <c r="D34" s="48" t="s">
        <v>2490</v>
      </c>
      <c r="E34" s="48" t="s">
        <v>701</v>
      </c>
      <c r="F34" s="48" t="s">
        <v>2474</v>
      </c>
      <c r="G34" s="48" t="s">
        <v>2454</v>
      </c>
      <c r="H34" s="48" t="s">
        <v>2491</v>
      </c>
      <c r="I34" s="49" t="s">
        <v>2492</v>
      </c>
      <c r="J34" s="49" t="s">
        <v>705</v>
      </c>
    </row>
    <row r="35" spans="1:10" ht="54.75" customHeight="1">
      <c r="A35" s="48">
        <v>34</v>
      </c>
      <c r="B35" s="48" t="s">
        <v>2353</v>
      </c>
      <c r="C35" s="48" t="s">
        <v>2354</v>
      </c>
      <c r="D35" s="48" t="s">
        <v>2493</v>
      </c>
      <c r="E35" s="48" t="s">
        <v>802</v>
      </c>
      <c r="F35" s="48" t="s">
        <v>2474</v>
      </c>
      <c r="G35" s="48" t="s">
        <v>2449</v>
      </c>
      <c r="H35" s="48" t="s">
        <v>2494</v>
      </c>
      <c r="I35" s="49" t="s">
        <v>2495</v>
      </c>
      <c r="J35" s="49" t="s">
        <v>2496</v>
      </c>
    </row>
    <row r="36" spans="1:10" ht="54.75" customHeight="1">
      <c r="A36" s="48">
        <v>35</v>
      </c>
      <c r="B36" s="48" t="s">
        <v>2353</v>
      </c>
      <c r="C36" s="48" t="s">
        <v>2354</v>
      </c>
      <c r="D36" s="48" t="s">
        <v>2497</v>
      </c>
      <c r="E36" s="48" t="s">
        <v>2417</v>
      </c>
      <c r="F36" s="48" t="s">
        <v>99</v>
      </c>
      <c r="G36" s="48" t="s">
        <v>2405</v>
      </c>
      <c r="H36" s="48" t="s">
        <v>2418</v>
      </c>
      <c r="I36" s="49" t="s">
        <v>2498</v>
      </c>
      <c r="J36" s="49" t="s">
        <v>2499</v>
      </c>
    </row>
    <row r="37" spans="1:10" ht="15" customHeight="1">
      <c r="A37" s="48">
        <v>36</v>
      </c>
      <c r="B37" s="48" t="s">
        <v>2353</v>
      </c>
      <c r="C37" s="48" t="s">
        <v>2354</v>
      </c>
      <c r="D37" s="48" t="s">
        <v>2500</v>
      </c>
      <c r="E37" s="48" t="s">
        <v>55</v>
      </c>
      <c r="F37" s="48" t="s">
        <v>2501</v>
      </c>
      <c r="G37" s="48" t="s">
        <v>2502</v>
      </c>
      <c r="H37" s="48" t="s">
        <v>2503</v>
      </c>
      <c r="I37" s="49" t="s">
        <v>2504</v>
      </c>
      <c r="J37" s="49" t="s">
        <v>2505</v>
      </c>
    </row>
    <row r="38" spans="1:10" ht="409.6" customHeight="1">
      <c r="A38" s="48">
        <v>37</v>
      </c>
      <c r="B38" s="48" t="s">
        <v>2353</v>
      </c>
      <c r="C38" s="48" t="s">
        <v>2354</v>
      </c>
      <c r="D38" s="48" t="s">
        <v>2506</v>
      </c>
      <c r="E38" s="48" t="s">
        <v>325</v>
      </c>
      <c r="F38" s="48" t="s">
        <v>2507</v>
      </c>
      <c r="G38" s="48" t="s">
        <v>2508</v>
      </c>
      <c r="H38" s="48" t="s">
        <v>2509</v>
      </c>
      <c r="I38" s="49" t="s">
        <v>2510</v>
      </c>
      <c r="J38" s="49" t="s">
        <v>2511</v>
      </c>
    </row>
    <row r="39" spans="1:10" ht="409.6" customHeight="1">
      <c r="A39" s="48">
        <v>38</v>
      </c>
      <c r="B39" s="48" t="s">
        <v>2353</v>
      </c>
      <c r="C39" s="48" t="s">
        <v>2354</v>
      </c>
      <c r="D39" s="48" t="s">
        <v>2512</v>
      </c>
      <c r="E39" s="48" t="s">
        <v>973</v>
      </c>
      <c r="F39" s="48" t="s">
        <v>2427</v>
      </c>
      <c r="G39" s="48" t="s">
        <v>2513</v>
      </c>
      <c r="H39" s="48" t="s">
        <v>2514</v>
      </c>
      <c r="I39" s="49" t="s">
        <v>2515</v>
      </c>
      <c r="J39" s="49" t="s">
        <v>2516</v>
      </c>
    </row>
    <row r="40" spans="1:10" ht="68.25" customHeight="1">
      <c r="A40" s="48">
        <v>39</v>
      </c>
      <c r="B40" s="48" t="s">
        <v>2517</v>
      </c>
      <c r="C40" s="48" t="s">
        <v>2354</v>
      </c>
      <c r="D40" s="48" t="s">
        <v>2518</v>
      </c>
      <c r="E40" s="48" t="s">
        <v>2519</v>
      </c>
      <c r="F40" s="48" t="s">
        <v>2520</v>
      </c>
      <c r="G40" s="48" t="s">
        <v>2405</v>
      </c>
      <c r="H40" s="48" t="s">
        <v>2521</v>
      </c>
      <c r="I40" s="49" t="s">
        <v>2522</v>
      </c>
      <c r="J40" s="49" t="s">
        <v>2523</v>
      </c>
    </row>
    <row r="41" spans="1:10" ht="15" customHeight="1">
      <c r="A41" s="48">
        <v>40</v>
      </c>
      <c r="B41" s="48" t="s">
        <v>2517</v>
      </c>
      <c r="C41" s="48" t="s">
        <v>2354</v>
      </c>
      <c r="D41" s="48" t="s">
        <v>2524</v>
      </c>
      <c r="E41" s="48" t="s">
        <v>2525</v>
      </c>
      <c r="F41" s="48" t="s">
        <v>2526</v>
      </c>
      <c r="G41" s="48" t="s">
        <v>2527</v>
      </c>
      <c r="H41" s="48" t="s">
        <v>2528</v>
      </c>
      <c r="I41" s="49" t="s">
        <v>2529</v>
      </c>
      <c r="J41" s="49" t="s">
        <v>2530</v>
      </c>
    </row>
    <row r="42" spans="1:10" ht="409.6" customHeight="1">
      <c r="A42" s="48">
        <v>41</v>
      </c>
      <c r="B42" s="48" t="s">
        <v>2517</v>
      </c>
      <c r="C42" s="48" t="s">
        <v>2354</v>
      </c>
      <c r="D42" s="48" t="s">
        <v>2531</v>
      </c>
      <c r="E42" s="48" t="s">
        <v>1000</v>
      </c>
      <c r="F42" s="48" t="s">
        <v>2532</v>
      </c>
      <c r="G42" s="48" t="s">
        <v>2533</v>
      </c>
      <c r="H42" s="48" t="s">
        <v>2534</v>
      </c>
      <c r="I42" s="49" t="s">
        <v>2535</v>
      </c>
      <c r="J42" s="49" t="s">
        <v>2536</v>
      </c>
    </row>
    <row r="43" spans="1:10" ht="409.6" customHeight="1">
      <c r="A43" s="48">
        <v>42</v>
      </c>
      <c r="B43" s="48" t="s">
        <v>2517</v>
      </c>
      <c r="C43" s="48" t="s">
        <v>2354</v>
      </c>
      <c r="D43" s="48" t="s">
        <v>2537</v>
      </c>
      <c r="E43" s="48" t="s">
        <v>200</v>
      </c>
      <c r="F43" s="48" t="s">
        <v>73</v>
      </c>
      <c r="G43" s="48" t="s">
        <v>2538</v>
      </c>
      <c r="H43" s="48" t="s">
        <v>2539</v>
      </c>
      <c r="I43" s="49" t="s">
        <v>2540</v>
      </c>
      <c r="J43" s="49" t="s">
        <v>2541</v>
      </c>
    </row>
    <row r="44" spans="1:10" ht="409.6" customHeight="1">
      <c r="A44" s="48">
        <v>43</v>
      </c>
      <c r="B44" s="48" t="s">
        <v>2517</v>
      </c>
      <c r="C44" s="48" t="s">
        <v>2354</v>
      </c>
      <c r="D44" s="48" t="s">
        <v>2542</v>
      </c>
      <c r="E44" s="48" t="s">
        <v>57</v>
      </c>
      <c r="F44" s="48" t="s">
        <v>2501</v>
      </c>
      <c r="G44" s="48" t="s">
        <v>2543</v>
      </c>
      <c r="H44" s="48" t="s">
        <v>2544</v>
      </c>
      <c r="I44" s="49" t="s">
        <v>2545</v>
      </c>
      <c r="J44" s="49" t="s">
        <v>2546</v>
      </c>
    </row>
    <row r="45" spans="1:10" ht="409.6" customHeight="1">
      <c r="A45" s="48">
        <v>44</v>
      </c>
      <c r="B45" s="48" t="s">
        <v>2517</v>
      </c>
      <c r="C45" s="48" t="s">
        <v>2354</v>
      </c>
      <c r="D45" s="48" t="s">
        <v>2547</v>
      </c>
      <c r="E45" s="48" t="s">
        <v>55</v>
      </c>
      <c r="F45" s="48" t="s">
        <v>2548</v>
      </c>
      <c r="G45" s="48" t="s">
        <v>2549</v>
      </c>
      <c r="H45" s="48" t="s">
        <v>2550</v>
      </c>
      <c r="I45" s="49" t="s">
        <v>2551</v>
      </c>
      <c r="J45" s="49" t="s">
        <v>2552</v>
      </c>
    </row>
    <row r="46" spans="1:10" ht="41.25" customHeight="1">
      <c r="A46" s="48">
        <v>45</v>
      </c>
      <c r="B46" s="48" t="s">
        <v>2517</v>
      </c>
      <c r="C46" s="48" t="s">
        <v>2354</v>
      </c>
      <c r="D46" s="48" t="s">
        <v>2553</v>
      </c>
      <c r="E46" s="48" t="s">
        <v>2554</v>
      </c>
      <c r="F46" s="48" t="s">
        <v>2555</v>
      </c>
      <c r="G46" s="48" t="s">
        <v>2405</v>
      </c>
      <c r="H46" s="48" t="s">
        <v>2556</v>
      </c>
      <c r="I46" s="49" t="s">
        <v>2557</v>
      </c>
      <c r="J46" s="49" t="s">
        <v>2405</v>
      </c>
    </row>
    <row r="47" spans="1:10" ht="15" customHeight="1">
      <c r="A47" s="48">
        <v>46</v>
      </c>
      <c r="B47" s="48" t="s">
        <v>2517</v>
      </c>
      <c r="C47" s="48" t="s">
        <v>2354</v>
      </c>
      <c r="D47" s="48" t="s">
        <v>2558</v>
      </c>
      <c r="E47" s="48" t="s">
        <v>2559</v>
      </c>
      <c r="F47" s="48" t="s">
        <v>2560</v>
      </c>
      <c r="G47" s="48" t="s">
        <v>2405</v>
      </c>
      <c r="H47" s="48" t="s">
        <v>2561</v>
      </c>
      <c r="I47" s="49" t="s">
        <v>2562</v>
      </c>
      <c r="J47" s="49" t="s">
        <v>2563</v>
      </c>
    </row>
    <row r="48" spans="1:10" ht="409.6" customHeight="1">
      <c r="A48" s="48">
        <v>47</v>
      </c>
      <c r="B48" s="48" t="s">
        <v>2517</v>
      </c>
      <c r="C48" s="48" t="s">
        <v>2354</v>
      </c>
      <c r="D48" s="48" t="s">
        <v>2564</v>
      </c>
      <c r="E48" s="48" t="s">
        <v>325</v>
      </c>
      <c r="F48" s="48" t="s">
        <v>2565</v>
      </c>
      <c r="G48" s="48" t="s">
        <v>2566</v>
      </c>
      <c r="H48" s="48" t="s">
        <v>2567</v>
      </c>
      <c r="I48" s="49" t="s">
        <v>2568</v>
      </c>
      <c r="J48" s="49" t="s">
        <v>2405</v>
      </c>
    </row>
    <row r="49" spans="1:10" ht="409.6" customHeight="1">
      <c r="A49" s="48">
        <v>48</v>
      </c>
      <c r="B49" s="48" t="s">
        <v>2517</v>
      </c>
      <c r="C49" s="48" t="s">
        <v>2354</v>
      </c>
      <c r="D49" s="48" t="s">
        <v>2569</v>
      </c>
      <c r="E49" s="48" t="s">
        <v>2570</v>
      </c>
      <c r="F49" s="48" t="s">
        <v>2571</v>
      </c>
      <c r="G49" s="48" t="s">
        <v>2572</v>
      </c>
      <c r="H49" s="48" t="s">
        <v>2573</v>
      </c>
      <c r="I49" s="49" t="s">
        <v>2574</v>
      </c>
      <c r="J49" s="49" t="s">
        <v>2575</v>
      </c>
    </row>
    <row r="50" spans="1:10" ht="409.6" customHeight="1">
      <c r="A50" s="48">
        <v>49</v>
      </c>
      <c r="B50" s="48" t="s">
        <v>2517</v>
      </c>
      <c r="C50" s="48" t="s">
        <v>2354</v>
      </c>
      <c r="D50" s="48" t="s">
        <v>2576</v>
      </c>
      <c r="E50" s="48" t="s">
        <v>2417</v>
      </c>
      <c r="F50" s="48" t="s">
        <v>2577</v>
      </c>
      <c r="G50" s="48" t="s">
        <v>2578</v>
      </c>
      <c r="H50" s="48" t="s">
        <v>2579</v>
      </c>
      <c r="I50" s="49" t="s">
        <v>2580</v>
      </c>
      <c r="J50" s="49" t="s">
        <v>2405</v>
      </c>
    </row>
    <row r="51" spans="1:10" ht="15" customHeight="1">
      <c r="A51" s="48">
        <v>50</v>
      </c>
      <c r="B51" s="48" t="s">
        <v>2517</v>
      </c>
      <c r="C51" s="48" t="s">
        <v>2354</v>
      </c>
      <c r="D51" s="48" t="s">
        <v>2581</v>
      </c>
      <c r="E51" s="48" t="s">
        <v>2582</v>
      </c>
      <c r="F51" s="48" t="s">
        <v>2583</v>
      </c>
      <c r="G51" s="48" t="s">
        <v>2584</v>
      </c>
      <c r="H51" s="48" t="s">
        <v>2585</v>
      </c>
      <c r="I51" s="49" t="s">
        <v>2586</v>
      </c>
      <c r="J51" s="49" t="s">
        <v>2587</v>
      </c>
    </row>
    <row r="52" spans="1:10" ht="409.6" customHeight="1">
      <c r="A52" s="48">
        <v>51</v>
      </c>
      <c r="B52" s="48" t="s">
        <v>2517</v>
      </c>
      <c r="C52" s="48" t="s">
        <v>2354</v>
      </c>
      <c r="D52" s="48" t="s">
        <v>2588</v>
      </c>
      <c r="E52" s="48" t="s">
        <v>2589</v>
      </c>
      <c r="F52" s="48" t="s">
        <v>2590</v>
      </c>
      <c r="G52" s="48" t="s">
        <v>2591</v>
      </c>
      <c r="H52" s="48" t="s">
        <v>2592</v>
      </c>
      <c r="I52" s="49" t="s">
        <v>2593</v>
      </c>
      <c r="J52" s="49" t="s">
        <v>2594</v>
      </c>
    </row>
    <row r="53" spans="1:10" ht="409.6" customHeight="1">
      <c r="A53" s="48">
        <v>52</v>
      </c>
      <c r="B53" s="48" t="s">
        <v>2517</v>
      </c>
      <c r="C53" s="48" t="s">
        <v>2354</v>
      </c>
      <c r="D53" s="48" t="s">
        <v>2595</v>
      </c>
      <c r="E53" s="48" t="s">
        <v>2596</v>
      </c>
      <c r="F53" s="48" t="s">
        <v>2597</v>
      </c>
      <c r="G53" s="48" t="s">
        <v>2591</v>
      </c>
      <c r="H53" s="48" t="s">
        <v>2598</v>
      </c>
      <c r="I53" s="49" t="s">
        <v>2599</v>
      </c>
      <c r="J53" s="49" t="s">
        <v>2600</v>
      </c>
    </row>
    <row r="54" spans="1:10" ht="409.6" customHeight="1"/>
    <row r="55" spans="1:10" ht="409.6" customHeight="1">
      <c r="A55" s="51" t="s">
        <v>2601</v>
      </c>
    </row>
    <row r="56" spans="1:10" ht="409.6" customHeight="1">
      <c r="A56" s="49" t="s">
        <v>2602</v>
      </c>
    </row>
  </sheetData>
  <mergeCells count="1">
    <mergeCell ref="A20:I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Country_Master_Loan</vt:lpstr>
      <vt:lpstr>Country_Master_Institutions</vt:lpstr>
      <vt:lpstr>Institution_Count_Detail</vt:lpstr>
      <vt:lpstr>Loan_Book_Detail</vt:lpstr>
      <vt:lpstr>Classification_Notes</vt:lpstr>
      <vt:lpstr>Evidence_Index</vt:lpstr>
      <vt:lpstr>Methodology</vt:lpstr>
      <vt:lpstr>QA_Checks</vt:lpstr>
      <vt:lpstr>Change_Log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Kimderson H</cp:lastModifiedBy>
  <cp:revision>0</cp:revision>
  <dcterms:created xsi:type="dcterms:W3CDTF">2026-08-10T09:33:17Z</dcterms:created>
  <dcterms:modified xsi:type="dcterms:W3CDTF">2026-08-13T06:07:35Z</dcterms:modified>
  <dc:language>en-US</dc:language>
</cp:coreProperties>
</file>